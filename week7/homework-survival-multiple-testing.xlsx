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Kaplan_Meier" sheetId="2" state="visible" r:id="rId4"/>
    <sheet name="Step2_Hazard_Ratios" sheetId="3" state="visible" r:id="rId5"/>
    <sheet name="Step3_FWER" sheetId="4" state="visible" r:id="rId6"/>
    <sheet name="Step4_FDR_BH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<sst xmlns="http://schemas.openxmlformats.org/spreadsheetml/2006/main" count="134" uniqueCount="121">
  <si>
    <t xml:space="preserve">[Description] Kaplan–Meier &amp; Multiple Testing</t>
  </si>
  <si>
    <t xml:space="preserve">Kaplan–Meier &amp; Multiple Testing — Homework Worksheet</t>
  </si>
  <si>
    <t xml:space="preserve">ML Summer Class · fill the YELLOW cells; each entry is auto-checked (✓/✗).</t>
  </si>
  <si>
    <t xml:space="preserve">Learning Objectives:</t>
  </si>
  <si>
    <t xml:space="preserve">1. Build a Kaplan–Meier curve from censored data, risk set by risk set</t>
  </si>
  <si>
    <t xml:space="preserve">2. Turn Cox coefficients into hazard ratios</t>
  </si>
  <si>
    <t xml:space="preserve">3. Apply Bonferroni, Holm, and Benjamini–Hochberg to the same p-values</t>
  </si>
  <si>
    <t xml:space="preserve">4. See with your own eyes how FWER and FDR control differ</t>
  </si>
  <si>
    <t xml:space="preserve">Readings &amp; Slides:</t>
  </si>
  <si>
    <t xml:space="preserve">• ISLP §11.3-11.5 (Kaplan-Meier, Cox), §13.3-13.4 (FWER, FDR)</t>
  </si>
  <si>
    <t xml:space="preserve">• Week 7 slides: "The Kaplan–Meier estimator", "Cox proportional hazards", "Controlling FWER", "Benjamini–Hochberg"</t>
  </si>
  <si>
    <t xml:space="preserve">Key Formulas:</t>
  </si>
  <si>
    <t xml:space="preserve">Kaplan–Meier</t>
  </si>
  <si>
    <t xml:space="preserve">S(t) = Π_{dⱼ≤t} (1 - qⱼ/rⱼ)</t>
  </si>
  <si>
    <t xml:space="preserve">Hazard ratio</t>
  </si>
  <si>
    <t xml:space="preserve">HR = e^β  (Cox proportional hazards)</t>
  </si>
  <si>
    <t xml:space="preserve">Bonferroni</t>
  </si>
  <si>
    <t xml:space="preserve">reject if pⱼ ≤ α/m</t>
  </si>
  <si>
    <t xml:space="preserve">Holm</t>
  </si>
  <si>
    <t xml:space="preserve">sort p; reject while p₍ⱼ₎ ≤ α/(m-j+1)</t>
  </si>
  <si>
    <t xml:space="preserve">Benjamini–Hochberg</t>
  </si>
  <si>
    <t xml:space="preserve">reject p₍₁₎…p₍L₎ where L = max{ j : p₍ⱼ₎ &lt; q·j/m }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</si>
  <si>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</si>
  <si>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</si>
  <si>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</si>
  <si>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</si>
  <si>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</si>
  <si>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Kaplan-Meier estimate from 8 patients</t>
  </si>
  <si>
    <t xml:space="preserve">The staircase, step by step</t>
  </si>
  <si>
    <t xml:space="preserve">ISLP §11.3 · Week 7 slide "The Kaplan–Meier estimator"</t>
  </si>
  <si>
    <t xml:space="preserve">GIVEN: follow-up times (months); status E = event, C = censored</t>
  </si>
  <si>
    <t xml:space="preserve">patient</t>
  </si>
  <si>
    <t xml:space="preserve">time</t>
  </si>
  <si>
    <t xml:space="preserve">status</t>
  </si>
  <si>
    <t xml:space="preserve">E</t>
  </si>
  <si>
    <t xml:space="preserve">C</t>
  </si>
  <si>
    <t xml:space="preserve">At each EVENT time fill: at-risk rⱼ, events qⱼ, factor (1-qⱼ/rⱼ), and S(t)</t>
  </si>
  <si>
    <t xml:space="preserve">event time dⱼ</t>
  </si>
  <si>
    <t xml:space="preserve">rⱼ (at risk)</t>
  </si>
  <si>
    <t xml:space="preserve">qⱼ</t>
  </si>
  <si>
    <t xml:space="preserve">1 - qⱼ/rⱼ</t>
  </si>
  <si>
    <t xml:space="preserve">S(t)</t>
  </si>
  <si>
    <t xml:space="preserve">Check</t>
  </si>
  <si>
    <t xml:space="preserve">Median survival (first t with S(t) ≤ 0.5) =</t>
  </si>
  <si>
    <t xml:space="preserve">read your table</t>
  </si>
  <si>
    <t xml:space="preserve">Why is the drop at t=9 so big?</t>
  </si>
  <si>
    <t xml:space="preserve">tiny risk set → each event moves the curve a lot. (type: small risk set)</t>
  </si>
  <si>
    <t xml:space="preserve">[Description] STEP 2: hazard ratios from Cox coefficients</t>
  </si>
  <si>
    <t xml:space="preserve">Reading a Cox model</t>
  </si>
  <si>
    <t xml:space="preserve">ISLP §11.5.2 · Week 7 slide "Cox proportional hazards"</t>
  </si>
  <si>
    <t xml:space="preserve">GIVEN: fitted Cox coefficients</t>
  </si>
  <si>
    <t xml:space="preserve">covariate</t>
  </si>
  <si>
    <t xml:space="preserve">β̂</t>
  </si>
  <si>
    <t xml:space="preserve">treatment (=1)</t>
  </si>
  <si>
    <t xml:space="preserve">age (per year)</t>
  </si>
  <si>
    <t xml:space="preserve">female (=1)</t>
  </si>
  <si>
    <t xml:space="preserve">Fill the hazard ratios</t>
  </si>
  <si>
    <t xml:space="preserve">HR = e^β̂</t>
  </si>
  <si>
    <t xml:space="preserve">treatment</t>
  </si>
  <si>
    <t xml:space="preserve">age, per year</t>
  </si>
  <si>
    <t xml:space="preserve">age, per 10 years</t>
  </si>
  <si>
    <t xml:space="preserve">female</t>
  </si>
  <si>
    <t xml:space="preserve">Treatment ___ the hazard (doubles/halves)</t>
  </si>
  <si>
    <t xml:space="preserve">Being female multiplies the hazard by ≈</t>
  </si>
  <si>
    <t xml:space="preserve">2/3</t>
  </si>
  <si>
    <t xml:space="preserve">[Description] STEP 3: Bonferroni vs Holm on 8 p-values</t>
  </si>
  <si>
    <t xml:space="preserve">One family, eight tests, α = 0.05</t>
  </si>
  <si>
    <t xml:space="preserve">ISLP §13.3 · Week 7 slide "Controlling FWER: Bonferroni and Holm"</t>
  </si>
  <si>
    <t xml:space="preserve">GIVEN: sorted p-values from m = 8 tests</t>
  </si>
  <si>
    <t xml:space="preserve">Fill both thresholds and the decisions (R = reject, K = keep)</t>
  </si>
  <si>
    <t xml:space="preserve">j</t>
  </si>
  <si>
    <t xml:space="preserve">p₍ⱼ₎</t>
  </si>
  <si>
    <t xml:space="preserve">Bonferroni α/m</t>
  </si>
  <si>
    <t xml:space="preserve">Bonf. decision (R/K)</t>
  </si>
  <si>
    <t xml:space="preserve">Holm α/(m-j+1)</t>
  </si>
  <si>
    <t xml:space="preserve">Holm decision (R/K)</t>
  </si>
  <si>
    <t xml:space="preserve">(Holm: once a p exceeds its threshold, that test and ALL larger ones are kept.)</t>
  </si>
  <si>
    <t xml:space="preserve">Bonferroni rejections =</t>
  </si>
  <si>
    <t xml:space="preserve">count p ≤ 0.00625</t>
  </si>
  <si>
    <t xml:space="preserve">Holm rejections =</t>
  </si>
  <si>
    <t xml:space="preserve">p₍₃₎=0.008 ≤ 0.00833 ✓, p₍₄₎=0.020 &gt; 0.010 ✗ stop</t>
  </si>
  <si>
    <t xml:space="preserve">Holm is never ___ powerful than Bonferroni (more/less)</t>
  </si>
  <si>
    <t xml:space="preserve">[Description] STEP 4: Benjamini-Hochberg at q = 0.1</t>
  </si>
  <si>
    <t xml:space="preserve">Control the discovery list, not the family</t>
  </si>
  <si>
    <t xml:space="preserve">ISLP §13.4 · Week 7 slide "Benjamini–Hochberg: an FDR in three lines"</t>
  </si>
  <si>
    <t xml:space="preserve">Same 8 p-values. Fill the BH threshold q·j/m and whether p₍ⱼ₎ &lt; threshold</t>
  </si>
  <si>
    <t xml:space="preserve">q·j/m</t>
  </si>
  <si>
    <t xml:space="preserve">p₍ⱼ₎ &lt; q·j/m ? (Y/N)</t>
  </si>
  <si>
    <t xml:space="preserve">L = largest j with p₍ⱼ₎ &lt; q·j/m =</t>
  </si>
  <si>
    <t xml:space="preserve">scan from the bottom up</t>
  </si>
  <si>
    <t xml:space="preserve">BH rejections =</t>
  </si>
  <si>
    <t xml:space="preserve">reject p₍₁₎ … p₍L₎</t>
  </si>
  <si>
    <t xml:space="preserve">Expected false discoveries ≤</t>
  </si>
  <si>
    <t xml:space="preserve">q × rejections</t>
  </si>
  <si>
    <t xml:space="preserve">Compare: Bonferroni 2, Holm 3, BH ___</t>
  </si>
  <si>
    <t xml:space="preserve">the FWER→FDR trade in one line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</si>
  <si>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</si>
  <si>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</si>
  <si>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</si>
  <si>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Risk sets r</t>
  </si>
  <si>
    <t xml:space="preserve">8, 6, 5, 3, 1</t>
  </si>
  <si>
    <t xml:space="preserve">S(t) after each event</t>
  </si>
  <si>
    <t xml:space="preserve">0.875, 0.729, 0.583, 0.389, 0</t>
  </si>
  <si>
    <t xml:space="preserve">Median</t>
  </si>
  <si>
    <t xml:space="preserve">STEP 2</t>
  </si>
  <si>
    <t xml:space="preserve">HRs</t>
  </si>
  <si>
    <t xml:space="preserve">2.00, 1.051, 1.649, 0.667</t>
  </si>
  <si>
    <t xml:space="preserve">doubles the hazard</t>
  </si>
  <si>
    <t xml:space="preserve">STEP 3</t>
  </si>
  <si>
    <t xml:space="preserve">Bonferroni threshold</t>
  </si>
  <si>
    <t xml:space="preserve">Holm thresholds</t>
  </si>
  <si>
    <t xml:space="preserve">0.00625, 0.00714, 0.00833, 0.0100, …</t>
  </si>
  <si>
    <t xml:space="preserve">Rejections</t>
  </si>
  <si>
    <t xml:space="preserve">Bonferroni 2, Holm 3</t>
  </si>
  <si>
    <t xml:space="preserve">STEP 4</t>
  </si>
  <si>
    <t xml:space="preserve">BH thresholds</t>
  </si>
  <si>
    <t xml:space="preserve">0.0125, 0.025, …, 0.1</t>
  </si>
  <si>
    <t xml:space="preserve">L</t>
  </si>
  <si>
    <t xml:space="preserve">BH rejections</t>
  </si>
  <si>
    <t xml:space="preserve">E[false discoveries]</t>
  </si>
  <si>
    <t xml:space="preserve">≤ 0.6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</si>
</sst>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5" customFormat="false" ht="15" hidden="false" customHeight="false" outlineLevel="0" collapsed="false">
      <c r="A25" s="5" t="s">
        <v>20</v>
      </c>
      <c r="B25" s="6" t="s">
        <v>21</v>
      </c>
    </row>
    <row r="27" customFormat="false" ht="15" hidden="false" customHeight="false" outlineLevel="0" collapsed="false">
      <c r="A27" s="4" t="s">
        <v>22</v>
      </c>
    </row>
    <row r="29" customFormat="false" ht="15" hidden="false" customHeight="false" outlineLevel="0" collapsed="false">
      <c r="B29" s="7" t="s">
        <v>23</v>
      </c>
    </row>
    <row r="30" customFormat="false" ht="15" hidden="false" customHeight="false" outlineLevel="0" collapsed="false">
      <c r="B30" s="6" t="s">
        <v>24</v>
      </c>
    </row>
    <row r="31" customFormat="false" ht="15" hidden="false" customHeight="false" outlineLevel="0" collapsed="false">
      <c r="B31" s="8" t="s">
        <v>25</v>
      </c>
    </row>
    <row r="32" customFormat="false" ht="15" hidden="false" customHeight="false" outlineLevel="0" collapsed="false">
      <c r="A32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</row>
    <row r="7" customFormat="false" ht="15" hidden="false" customHeight="false" outlineLevel="0" collapsed="false">
      <c r="A7" s="4" t="s">
        <v>30</v>
      </c>
    </row>
    <row r="9" customFormat="false" ht="15" hidden="false" customHeight="false" outlineLevel="0" collapsed="false">
      <c r="A9" s="10" t="s">
        <v>31</v>
      </c>
      <c r="B9" s="10" t="s">
        <v>32</v>
      </c>
      <c r="C9" s="10" t="s">
        <v>33</v>
      </c>
    </row>
    <row r="10" customFormat="false" ht="15" hidden="false" customHeight="false" outlineLevel="0" collapsed="false">
      <c r="A10" s="7" t="n">
        <v>1</v>
      </c>
      <c r="B10" s="7" t="n">
        <v>2</v>
      </c>
      <c r="C10" s="7" t="s">
        <v>34</v>
      </c>
    </row>
    <row r="11" customFormat="false" ht="15" hidden="false" customHeight="false" outlineLevel="0" collapsed="false">
      <c r="A11" s="7" t="n">
        <v>2</v>
      </c>
      <c r="B11" s="7" t="n">
        <v>3</v>
      </c>
      <c r="C11" s="7" t="s">
        <v>35</v>
      </c>
    </row>
    <row r="12" customFormat="false" ht="15" hidden="false" customHeight="false" outlineLevel="0" collapsed="false">
      <c r="A12" s="7" t="n">
        <v>3</v>
      </c>
      <c r="B12" s="7" t="n">
        <v>4</v>
      </c>
      <c r="C12" s="7" t="s">
        <v>34</v>
      </c>
    </row>
    <row r="13" customFormat="false" ht="15" hidden="false" customHeight="false" outlineLevel="0" collapsed="false">
      <c r="A13" s="7" t="n">
        <v>4</v>
      </c>
      <c r="B13" s="7" t="n">
        <v>5</v>
      </c>
      <c r="C13" s="7" t="s">
        <v>34</v>
      </c>
    </row>
    <row r="14" customFormat="false" ht="15" hidden="false" customHeight="false" outlineLevel="0" collapsed="false">
      <c r="A14" s="7" t="n">
        <v>5</v>
      </c>
      <c r="B14" s="7" t="n">
        <v>5</v>
      </c>
      <c r="C14" s="7" t="s">
        <v>35</v>
      </c>
    </row>
    <row r="15" customFormat="false" ht="15" hidden="false" customHeight="false" outlineLevel="0" collapsed="false">
      <c r="A15" s="7" t="n">
        <v>6</v>
      </c>
      <c r="B15" s="7" t="n">
        <v>7</v>
      </c>
      <c r="C15" s="7" t="s">
        <v>34</v>
      </c>
    </row>
    <row r="16" customFormat="false" ht="15" hidden="false" customHeight="false" outlineLevel="0" collapsed="false">
      <c r="A16" s="7" t="n">
        <v>7</v>
      </c>
      <c r="B16" s="7" t="n">
        <v>8</v>
      </c>
      <c r="C16" s="7" t="s">
        <v>35</v>
      </c>
    </row>
    <row r="17" customFormat="false" ht="15" hidden="false" customHeight="false" outlineLevel="0" collapsed="false">
      <c r="A17" s="7" t="n">
        <v>8</v>
      </c>
      <c r="B17" s="7" t="n">
        <v>9</v>
      </c>
      <c r="C17" s="7" t="s">
        <v>34</v>
      </c>
    </row>
    <row r="19" customFormat="false" ht="15" hidden="false" customHeight="false" outlineLevel="0" collapsed="false">
      <c r="A19" s="4" t="s">
        <v>36</v>
      </c>
    </row>
    <row r="21" customFormat="false" ht="15" hidden="false" customHeight="false" outlineLevel="0" collapsed="false">
      <c r="A21" s="10" t="s">
        <v>37</v>
      </c>
      <c r="B21" s="10" t="s">
        <v>38</v>
      </c>
      <c r="C21" s="10" t="s">
        <v>39</v>
      </c>
      <c r="D21" s="10" t="s">
        <v>40</v>
      </c>
      <c r="E21" s="10" t="s">
        <v>41</v>
      </c>
      <c r="F21" s="10" t="s">
        <v>42</v>
      </c>
    </row>
    <row r="22" customFormat="false" ht="15" hidden="false" customHeight="false" outlineLevel="0" collapsed="false">
      <c r="A22" s="7" t="n">
        <v>2</v>
      </c>
      <c r="B22" s="8"/>
      <c r="C22" s="8"/>
      <c r="D22" s="8"/>
      <c r="E22" s="8"/>
      <c r="F22" s="5" t="str">
        <f aca="false">IF(COUNT(B22:E22)=0,"",IF(AND(ROUND(B22,3)=ROUND(8,3),ROUND(C22,3)=ROUND(1,3),ROUND(D22,3)=ROUND(0.875,3),ROUND(E22,3)=ROUND(0.875,3)),"✓","✗"))</f>
        <v/>
      </c>
    </row>
    <row r="23" customFormat="false" ht="15" hidden="false" customHeight="false" outlineLevel="0" collapsed="false">
      <c r="A23" s="7" t="n">
        <v>4</v>
      </c>
      <c r="B23" s="8"/>
      <c r="C23" s="8"/>
      <c r="D23" s="8"/>
      <c r="E23" s="8"/>
      <c r="F23" s="5" t="str">
        <f aca="false">IF(COUNT(B23:E23)=0,"",IF(AND(ROUND(B23,3)=ROUND(6,3),ROUND(C23,3)=ROUND(1,3),ROUND(D23,3)=ROUND(0.833333,3),ROUND(E23,3)=ROUND(0.729167,3)),"✓","✗"))</f>
        <v/>
      </c>
    </row>
    <row r="24" customFormat="false" ht="15" hidden="false" customHeight="false" outlineLevel="0" collapsed="false">
      <c r="A24" s="7" t="n">
        <v>5</v>
      </c>
      <c r="B24" s="8"/>
      <c r="C24" s="8"/>
      <c r="D24" s="8"/>
      <c r="E24" s="8"/>
      <c r="F24" s="5" t="str">
        <f aca="false">IF(COUNT(B24:E24)=0,"",IF(AND(ROUND(B24,3)=ROUND(5,3),ROUND(C24,3)=ROUND(1,3),ROUND(D24,3)=ROUND(0.8,3),ROUND(E24,3)=ROUND(0.583333,3)),"✓","✗"))</f>
        <v/>
      </c>
    </row>
    <row r="25" customFormat="false" ht="15" hidden="false" customHeight="false" outlineLevel="0" collapsed="false">
      <c r="A25" s="7" t="n">
        <v>7</v>
      </c>
      <c r="B25" s="8"/>
      <c r="C25" s="8"/>
      <c r="D25" s="8"/>
      <c r="E25" s="8"/>
      <c r="F25" s="5" t="str">
        <f aca="false">IF(COUNT(B25:E25)=0,"",IF(AND(ROUND(B25,3)=ROUND(3,3),ROUND(C25,3)=ROUND(1,3),ROUND(D25,3)=ROUND(0.666667,3),ROUND(E25,3)=ROUND(0.388889,3)),"✓","✗"))</f>
        <v/>
      </c>
    </row>
    <row r="26" customFormat="false" ht="15" hidden="false" customHeight="false" outlineLevel="0" collapsed="false">
      <c r="A26" s="7" t="n">
        <v>9</v>
      </c>
      <c r="B26" s="8"/>
      <c r="C26" s="8"/>
      <c r="D26" s="8"/>
      <c r="E26" s="8"/>
      <c r="F26" s="5" t="str">
        <f aca="false">IF(COUNT(B26:E26)=0,"",IF(AND(ROUND(B26,3)=ROUND(1,3),ROUND(C26,3)=ROUND(1,3),ROUND(D26,3)=ROUND(0,3),ROUND(E26,3)=ROUND(0,3)),"✓","✗"))</f>
        <v/>
      </c>
    </row>
    <row r="28" customFormat="false" ht="15" hidden="false" customHeight="false" outlineLevel="0" collapsed="false">
      <c r="A28" s="5" t="s">
        <v>43</v>
      </c>
      <c r="C28" s="11" t="s">
        <v>44</v>
      </c>
      <c r="D28" s="11"/>
      <c r="E28" s="11"/>
      <c r="F28" s="12"/>
      <c r="G28" s="5" t="str">
        <f aca="false">IF(F28="","",IF(ROUND(F28,3)=ROUND(7,3),"✓","✗"))</f>
        <v/>
      </c>
    </row>
    <row r="30" customFormat="false" ht="15" hidden="false" customHeight="false" outlineLevel="0" collapsed="false">
      <c r="A30" s="5" t="s">
        <v>45</v>
      </c>
      <c r="C30" s="11" t="s">
        <v>46</v>
      </c>
      <c r="D30" s="11"/>
      <c r="E30" s="11"/>
      <c r="F30" s="12"/>
      <c r="G30" s="5" t="str">
        <f aca="false">IF(F30="","",IF(UPPER(TRIM(F30))=UPPER("small risk set"),"✓","✗"))</f>
        <v/>
      </c>
    </row>
  </sheetData>
  <mergeCells count="2">
    <mergeCell ref="C28:E28"/>
    <mergeCell ref="C30:E30"/>
  </mergeCells>
  <conditionalFormatting sqref="A1:J3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47</v>
      </c>
    </row>
    <row r="3" customFormat="false" ht="15" hidden="false" customHeight="false" outlineLevel="0" collapsed="false">
      <c r="A3" s="2" t="s">
        <v>48</v>
      </c>
    </row>
    <row r="5" customFormat="false" ht="15" hidden="false" customHeight="false" outlineLevel="0" collapsed="false">
      <c r="A5" s="9" t="s">
        <v>49</v>
      </c>
    </row>
    <row r="7" customFormat="false" ht="15" hidden="false" customHeight="false" outlineLevel="0" collapsed="false">
      <c r="A7" s="4" t="s">
        <v>50</v>
      </c>
    </row>
    <row r="9" customFormat="false" ht="15" hidden="false" customHeight="false" outlineLevel="0" collapsed="false">
      <c r="A9" s="10" t="s">
        <v>51</v>
      </c>
      <c r="B9" s="10" t="s">
        <v>52</v>
      </c>
    </row>
    <row r="10" customFormat="false" ht="15" hidden="false" customHeight="false" outlineLevel="0" collapsed="false">
      <c r="A10" s="7" t="s">
        <v>53</v>
      </c>
      <c r="B10" s="7" t="n">
        <v>0.6931</v>
      </c>
    </row>
    <row r="11" customFormat="false" ht="15" hidden="false" customHeight="false" outlineLevel="0" collapsed="false">
      <c r="A11" s="7" t="s">
        <v>54</v>
      </c>
      <c r="B11" s="7" t="n">
        <v>0.05</v>
      </c>
    </row>
    <row r="12" customFormat="false" ht="15" hidden="false" customHeight="false" outlineLevel="0" collapsed="false">
      <c r="A12" s="7" t="s">
        <v>55</v>
      </c>
      <c r="B12" s="7" t="n">
        <v>-0.4055</v>
      </c>
    </row>
    <row r="14" customFormat="false" ht="15" hidden="false" customHeight="false" outlineLevel="0" collapsed="false">
      <c r="A14" s="4" t="s">
        <v>56</v>
      </c>
    </row>
    <row r="16" customFormat="false" ht="15" hidden="false" customHeight="false" outlineLevel="0" collapsed="false">
      <c r="A16" s="10" t="s">
        <v>51</v>
      </c>
      <c r="B16" s="10" t="s">
        <v>57</v>
      </c>
      <c r="C16" s="10" t="s">
        <v>42</v>
      </c>
    </row>
    <row r="17" customFormat="false" ht="15" hidden="false" customHeight="false" outlineLevel="0" collapsed="false">
      <c r="A17" s="7" t="s">
        <v>58</v>
      </c>
      <c r="B17" s="8"/>
      <c r="C17" s="5" t="str">
        <f aca="false">IF(COUNT(B17)=0,"",IF(AND(ROUND(B17,3)=ROUND(2,3)),"✓","✗"))</f>
        <v/>
      </c>
    </row>
    <row r="18" customFormat="false" ht="15" hidden="false" customHeight="false" outlineLevel="0" collapsed="false">
      <c r="A18" s="7" t="s">
        <v>59</v>
      </c>
      <c r="B18" s="8"/>
      <c r="C18" s="5" t="str">
        <f aca="false">IF(COUNT(B18)=0,"",IF(AND(ROUND(B18,3)=ROUND(1.051271,3)),"✓","✗"))</f>
        <v/>
      </c>
    </row>
    <row r="19" customFormat="false" ht="15" hidden="false" customHeight="false" outlineLevel="0" collapsed="false">
      <c r="A19" s="7" t="s">
        <v>60</v>
      </c>
      <c r="B19" s="8"/>
      <c r="C19" s="5" t="str">
        <f aca="false">IF(COUNT(B19)=0,"",IF(AND(ROUND(B19,3)=ROUND(1.648721,3)),"✓","✗"))</f>
        <v/>
      </c>
    </row>
    <row r="20" customFormat="false" ht="15" hidden="false" customHeight="false" outlineLevel="0" collapsed="false">
      <c r="A20" s="7" t="s">
        <v>61</v>
      </c>
      <c r="B20" s="8"/>
      <c r="C20" s="5" t="str">
        <f aca="false">IF(COUNT(B20)=0,"",IF(AND(ROUND(B20,3)=ROUND(0.666667,3)),"✓","✗"))</f>
        <v/>
      </c>
    </row>
    <row r="22" customFormat="false" ht="15" hidden="false" customHeight="false" outlineLevel="0" collapsed="false">
      <c r="A22" s="5" t="s">
        <v>62</v>
      </c>
      <c r="C22" s="11"/>
      <c r="D22" s="11"/>
      <c r="E22" s="11"/>
      <c r="F22" s="12"/>
      <c r="G22" s="5" t="str">
        <f aca="false">IF(F22="","",IF(UPPER(TRIM(F22))=UPPER("doubles"),"✓","✗"))</f>
        <v/>
      </c>
    </row>
    <row r="24" customFormat="false" ht="15" hidden="false" customHeight="false" outlineLevel="0" collapsed="false">
      <c r="A24" s="5" t="s">
        <v>63</v>
      </c>
      <c r="C24" s="11" t="s">
        <v>64</v>
      </c>
      <c r="D24" s="11"/>
      <c r="E24" s="11"/>
      <c r="F24" s="12"/>
      <c r="G24" s="5" t="str">
        <f aca="false">IF(F24="","",IF(ROUND(F24,3)=ROUND(0.666667,3),"✓","✗"))</f>
        <v/>
      </c>
    </row>
  </sheetData>
  <mergeCells count="2">
    <mergeCell ref="C22:E22"/>
    <mergeCell ref="C24:E24"/>
  </mergeCells>
  <conditionalFormatting sqref="A1:J24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65</v>
      </c>
    </row>
    <row r="3" customFormat="false" ht="15" hidden="false" customHeight="false" outlineLevel="0" collapsed="false">
      <c r="A3" s="2" t="s">
        <v>66</v>
      </c>
    </row>
    <row r="5" customFormat="false" ht="15" hidden="false" customHeight="false" outlineLevel="0" collapsed="false">
      <c r="A5" s="9" t="s">
        <v>67</v>
      </c>
    </row>
    <row r="7" customFormat="false" ht="15" hidden="false" customHeight="false" outlineLevel="0" collapsed="false">
      <c r="A7" s="4" t="s">
        <v>68</v>
      </c>
    </row>
    <row r="9" customFormat="false" ht="15" hidden="false" customHeight="false" outlineLevel="0" collapsed="false">
      <c r="A9" s="4" t="s">
        <v>69</v>
      </c>
    </row>
    <row r="11" customFormat="false" ht="15" hidden="false" customHeight="false" outlineLevel="0" collapsed="false">
      <c r="A11" s="10" t="s">
        <v>70</v>
      </c>
      <c r="B11" s="10" t="s">
        <v>71</v>
      </c>
      <c r="C11" s="10" t="s">
        <v>72</v>
      </c>
      <c r="D11" s="10" t="s">
        <v>73</v>
      </c>
      <c r="E11" s="10" t="s">
        <v>74</v>
      </c>
      <c r="F11" s="10" t="s">
        <v>75</v>
      </c>
      <c r="G11" s="10" t="s">
        <v>42</v>
      </c>
    </row>
    <row r="12" customFormat="false" ht="15" hidden="false" customHeight="false" outlineLevel="0" collapsed="false">
      <c r="A12" s="7" t="n">
        <v>1</v>
      </c>
      <c r="B12" s="7" t="n">
        <v>0.001</v>
      </c>
      <c r="C12" s="8"/>
      <c r="D12" s="8"/>
      <c r="E12" s="8"/>
      <c r="F12" s="8"/>
      <c r="G12" s="5" t="str">
        <f aca="false">IF(COUNT(C12:F12)=0,"",IF(AND(ROUND(C12,3)=ROUND(0.00625,3),ROUND(E12,3)=ROUND(0.00625,3)),"✓","✗"))</f>
        <v/>
      </c>
    </row>
    <row r="13" customFormat="false" ht="15" hidden="false" customHeight="false" outlineLevel="0" collapsed="false">
      <c r="A13" s="7" t="n">
        <v>2</v>
      </c>
      <c r="B13" s="7" t="n">
        <v>0.004</v>
      </c>
      <c r="C13" s="8"/>
      <c r="D13" s="8"/>
      <c r="E13" s="8"/>
      <c r="F13" s="8"/>
      <c r="G13" s="5" t="str">
        <f aca="false">IF(COUNT(C13:F13)=0,"",IF(AND(ROUND(C13,3)=ROUND(0.00625,3),ROUND(E13,3)=ROUND(0.007143,3)),"✓","✗"))</f>
        <v/>
      </c>
    </row>
    <row r="14" customFormat="false" ht="15" hidden="false" customHeight="false" outlineLevel="0" collapsed="false">
      <c r="A14" s="7" t="n">
        <v>3</v>
      </c>
      <c r="B14" s="7" t="n">
        <v>0.008</v>
      </c>
      <c r="C14" s="8"/>
      <c r="D14" s="8"/>
      <c r="E14" s="8"/>
      <c r="F14" s="8"/>
      <c r="G14" s="5" t="str">
        <f aca="false">IF(COUNT(C14:F14)=0,"",IF(AND(ROUND(C14,3)=ROUND(0.00625,3),ROUND(E14,3)=ROUND(0.008333,3)),"✓","✗"))</f>
        <v/>
      </c>
    </row>
    <row r="15" customFormat="false" ht="15" hidden="false" customHeight="false" outlineLevel="0" collapsed="false">
      <c r="A15" s="7" t="n">
        <v>4</v>
      </c>
      <c r="B15" s="7" t="n">
        <v>0.02</v>
      </c>
      <c r="C15" s="8"/>
      <c r="D15" s="8"/>
      <c r="E15" s="8"/>
      <c r="F15" s="8"/>
      <c r="G15" s="5" t="str">
        <f aca="false">IF(COUNT(C15:F15)=0,"",IF(AND(ROUND(C15,3)=ROUND(0.00625,3),ROUND(E15,3)=ROUND(0.01,3)),"✓","✗"))</f>
        <v/>
      </c>
    </row>
    <row r="16" customFormat="false" ht="15" hidden="false" customHeight="false" outlineLevel="0" collapsed="false">
      <c r="A16" s="7" t="n">
        <v>5</v>
      </c>
      <c r="B16" s="7" t="n">
        <v>0.03</v>
      </c>
      <c r="C16" s="8"/>
      <c r="D16" s="8"/>
      <c r="E16" s="8"/>
      <c r="F16" s="8"/>
      <c r="G16" s="5" t="str">
        <f aca="false">IF(COUNT(C16:F16)=0,"",IF(AND(ROUND(C16,3)=ROUND(0.00625,3),ROUND(E16,3)=ROUND(0.0125,3)),"✓","✗"))</f>
        <v/>
      </c>
    </row>
    <row r="17" customFormat="false" ht="15" hidden="false" customHeight="false" outlineLevel="0" collapsed="false">
      <c r="A17" s="7" t="n">
        <v>6</v>
      </c>
      <c r="B17" s="7" t="n">
        <v>0.04</v>
      </c>
      <c r="C17" s="8"/>
      <c r="D17" s="8"/>
      <c r="E17" s="8"/>
      <c r="F17" s="8"/>
      <c r="G17" s="5" t="str">
        <f aca="false">IF(COUNT(C17:F17)=0,"",IF(AND(ROUND(C17,3)=ROUND(0.00625,3),ROUND(E17,3)=ROUND(0.016667,3)),"✓","✗"))</f>
        <v/>
      </c>
    </row>
    <row r="18" customFormat="false" ht="15" hidden="false" customHeight="false" outlineLevel="0" collapsed="false">
      <c r="A18" s="7" t="n">
        <v>7</v>
      </c>
      <c r="B18" s="7" t="n">
        <v>0.2</v>
      </c>
      <c r="C18" s="8"/>
      <c r="D18" s="8"/>
      <c r="E18" s="8"/>
      <c r="F18" s="8"/>
      <c r="G18" s="5" t="str">
        <f aca="false">IF(COUNT(C18:F18)=0,"",IF(AND(ROUND(C18,3)=ROUND(0.00625,3),ROUND(E18,3)=ROUND(0.025,3)),"✓","✗"))</f>
        <v/>
      </c>
    </row>
    <row r="19" customFormat="false" ht="15" hidden="false" customHeight="false" outlineLevel="0" collapsed="false">
      <c r="A19" s="7" t="n">
        <v>8</v>
      </c>
      <c r="B19" s="7" t="n">
        <v>0.6</v>
      </c>
      <c r="C19" s="8"/>
      <c r="D19" s="8"/>
      <c r="E19" s="8"/>
      <c r="F19" s="8"/>
      <c r="G19" s="5" t="str">
        <f aca="false">IF(COUNT(C19:F19)=0,"",IF(AND(ROUND(C19,3)=ROUND(0.00625,3),ROUND(E19,3)=ROUND(0.05,3)),"✓","✗"))</f>
        <v/>
      </c>
    </row>
    <row r="21" customFormat="false" ht="15" hidden="false" customHeight="false" outlineLevel="0" collapsed="false">
      <c r="A21" s="5" t="s">
        <v>76</v>
      </c>
    </row>
    <row r="23" customFormat="false" ht="15" hidden="false" customHeight="false" outlineLevel="0" collapsed="false">
      <c r="A23" s="5" t="s">
        <v>77</v>
      </c>
      <c r="C23" s="11" t="s">
        <v>78</v>
      </c>
      <c r="D23" s="11"/>
      <c r="E23" s="11"/>
      <c r="F23" s="12"/>
      <c r="G23" s="5" t="str">
        <f aca="false">IF(F23="","",IF(ROUND(F23,3)=ROUND(2,3),"✓","✗"))</f>
        <v/>
      </c>
    </row>
    <row r="25" customFormat="false" ht="15" hidden="false" customHeight="false" outlineLevel="0" collapsed="false">
      <c r="A25" s="5" t="s">
        <v>79</v>
      </c>
      <c r="C25" s="11" t="s">
        <v>80</v>
      </c>
      <c r="D25" s="11"/>
      <c r="E25" s="11"/>
      <c r="F25" s="12"/>
      <c r="G25" s="5" t="str">
        <f aca="false">IF(F25="","",IF(ROUND(F25,3)=ROUND(3,3),"✓","✗"))</f>
        <v/>
      </c>
    </row>
    <row r="27" customFormat="false" ht="15" hidden="false" customHeight="false" outlineLevel="0" collapsed="false">
      <c r="A27" s="5" t="s">
        <v>81</v>
      </c>
      <c r="C27" s="11"/>
      <c r="D27" s="11"/>
      <c r="E27" s="11"/>
      <c r="F27" s="12"/>
      <c r="G27" s="5" t="str">
        <f aca="false">IF(F27="","",IF(UPPER(TRIM(F27))=UPPER("less"),"✓","✗"))</f>
        <v/>
      </c>
    </row>
  </sheetData>
  <mergeCells count="3">
    <mergeCell ref="C23:E23"/>
    <mergeCell ref="C25:E25"/>
    <mergeCell ref="C27:E27"/>
  </mergeCells>
  <conditionalFormatting sqref="A1:J27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82</v>
      </c>
    </row>
    <row r="3" customFormat="false" ht="15" hidden="false" customHeight="false" outlineLevel="0" collapsed="false">
      <c r="A3" s="2" t="s">
        <v>83</v>
      </c>
    </row>
    <row r="5" customFormat="false" ht="15" hidden="false" customHeight="false" outlineLevel="0" collapsed="false">
      <c r="A5" s="9" t="s">
        <v>84</v>
      </c>
    </row>
    <row r="7" customFormat="false" ht="15" hidden="false" customHeight="false" outlineLevel="0" collapsed="false">
      <c r="A7" s="4" t="s">
        <v>85</v>
      </c>
    </row>
    <row r="9" customFormat="false" ht="15" hidden="false" customHeight="false" outlineLevel="0" collapsed="false">
      <c r="A9" s="10" t="s">
        <v>70</v>
      </c>
      <c r="B9" s="10" t="s">
        <v>71</v>
      </c>
      <c r="C9" s="10" t="s">
        <v>86</v>
      </c>
      <c r="D9" s="10" t="s">
        <v>87</v>
      </c>
      <c r="E9" s="10" t="s">
        <v>42</v>
      </c>
    </row>
    <row r="10" customFormat="false" ht="15" hidden="false" customHeight="false" outlineLevel="0" collapsed="false">
      <c r="A10" s="7" t="n">
        <v>1</v>
      </c>
      <c r="B10" s="7" t="n">
        <v>0.001</v>
      </c>
      <c r="C10" s="8"/>
      <c r="D10" s="8"/>
      <c r="E10" s="5" t="str">
        <f aca="false">IF(COUNT(C10:D10)=0,"",IF(AND(ROUND(C10,3)=ROUND(0.0125,3)),"✓","✗"))</f>
        <v/>
      </c>
    </row>
    <row r="11" customFormat="false" ht="15" hidden="false" customHeight="false" outlineLevel="0" collapsed="false">
      <c r="A11" s="7" t="n">
        <v>2</v>
      </c>
      <c r="B11" s="7" t="n">
        <v>0.004</v>
      </c>
      <c r="C11" s="8"/>
      <c r="D11" s="8"/>
      <c r="E11" s="5" t="str">
        <f aca="false">IF(COUNT(C11:D11)=0,"",IF(AND(ROUND(C11,3)=ROUND(0.025,3)),"✓","✗"))</f>
        <v/>
      </c>
    </row>
    <row r="12" customFormat="false" ht="15" hidden="false" customHeight="false" outlineLevel="0" collapsed="false">
      <c r="A12" s="7" t="n">
        <v>3</v>
      </c>
      <c r="B12" s="7" t="n">
        <v>0.008</v>
      </c>
      <c r="C12" s="8"/>
      <c r="D12" s="8"/>
      <c r="E12" s="5" t="str">
        <f aca="false">IF(COUNT(C12:D12)=0,"",IF(AND(ROUND(C12,3)=ROUND(0.0375,3)),"✓","✗"))</f>
        <v/>
      </c>
    </row>
    <row r="13" customFormat="false" ht="15" hidden="false" customHeight="false" outlineLevel="0" collapsed="false">
      <c r="A13" s="7" t="n">
        <v>4</v>
      </c>
      <c r="B13" s="7" t="n">
        <v>0.02</v>
      </c>
      <c r="C13" s="8"/>
      <c r="D13" s="8"/>
      <c r="E13" s="5" t="str">
        <f aca="false">IF(COUNT(C13:D13)=0,"",IF(AND(ROUND(C13,3)=ROUND(0.05,3)),"✓","✗"))</f>
        <v/>
      </c>
    </row>
    <row r="14" customFormat="false" ht="15" hidden="false" customHeight="false" outlineLevel="0" collapsed="false">
      <c r="A14" s="7" t="n">
        <v>5</v>
      </c>
      <c r="B14" s="7" t="n">
        <v>0.03</v>
      </c>
      <c r="C14" s="8"/>
      <c r="D14" s="8"/>
      <c r="E14" s="5" t="str">
        <f aca="false">IF(COUNT(C14:D14)=0,"",IF(AND(ROUND(C14,3)=ROUND(0.0625,3)),"✓","✗"))</f>
        <v/>
      </c>
    </row>
    <row r="15" customFormat="false" ht="15" hidden="false" customHeight="false" outlineLevel="0" collapsed="false">
      <c r="A15" s="7" t="n">
        <v>6</v>
      </c>
      <c r="B15" s="7" t="n">
        <v>0.04</v>
      </c>
      <c r="C15" s="8"/>
      <c r="D15" s="8"/>
      <c r="E15" s="5" t="str">
        <f aca="false">IF(COUNT(C15:D15)=0,"",IF(AND(ROUND(C15,3)=ROUND(0.075,3)),"✓","✗"))</f>
        <v/>
      </c>
    </row>
    <row r="16" customFormat="false" ht="15" hidden="false" customHeight="false" outlineLevel="0" collapsed="false">
      <c r="A16" s="7" t="n">
        <v>7</v>
      </c>
      <c r="B16" s="7" t="n">
        <v>0.2</v>
      </c>
      <c r="C16" s="8"/>
      <c r="D16" s="8"/>
      <c r="E16" s="5" t="str">
        <f aca="false">IF(COUNT(C16:D16)=0,"",IF(AND(ROUND(C16,3)=ROUND(0.0875,3)),"✓","✗"))</f>
        <v/>
      </c>
    </row>
    <row r="17" customFormat="false" ht="15" hidden="false" customHeight="false" outlineLevel="0" collapsed="false">
      <c r="A17" s="7" t="n">
        <v>8</v>
      </c>
      <c r="B17" s="7" t="n">
        <v>0.6</v>
      </c>
      <c r="C17" s="8"/>
      <c r="D17" s="8"/>
      <c r="E17" s="5" t="str">
        <f aca="false">IF(COUNT(C17:D17)=0,"",IF(AND(ROUND(C17,3)=ROUND(0.1,3)),"✓","✗"))</f>
        <v/>
      </c>
    </row>
    <row r="19" customFormat="false" ht="15" hidden="false" customHeight="false" outlineLevel="0" collapsed="false">
      <c r="A19" s="5" t="s">
        <v>88</v>
      </c>
      <c r="C19" s="11" t="s">
        <v>89</v>
      </c>
      <c r="D19" s="11"/>
      <c r="E19" s="11"/>
      <c r="F19" s="12"/>
      <c r="G19" s="5" t="str">
        <f aca="false">IF(F19="","",IF(ROUND(F19,3)=ROUND(6,3),"✓","✗"))</f>
        <v/>
      </c>
    </row>
    <row r="21" customFormat="false" ht="15" hidden="false" customHeight="false" outlineLevel="0" collapsed="false">
      <c r="A21" s="5" t="s">
        <v>90</v>
      </c>
      <c r="C21" s="11" t="s">
        <v>91</v>
      </c>
      <c r="D21" s="11"/>
      <c r="E21" s="11"/>
      <c r="F21" s="12"/>
      <c r="G21" s="5" t="str">
        <f aca="false">IF(F21="","",IF(ROUND(F21,3)=ROUND(6,3),"✓","✗"))</f>
        <v/>
      </c>
    </row>
    <row r="23" customFormat="false" ht="15" hidden="false" customHeight="false" outlineLevel="0" collapsed="false">
      <c r="A23" s="5" t="s">
        <v>92</v>
      </c>
      <c r="C23" s="11" t="s">
        <v>93</v>
      </c>
      <c r="D23" s="11"/>
      <c r="E23" s="11"/>
      <c r="F23" s="12"/>
      <c r="G23" s="5" t="str">
        <f aca="false">IF(F23="","",IF(ROUND(F23,3)=ROUND(0.6,3),"✓","✗"))</f>
        <v/>
      </c>
    </row>
    <row r="25" customFormat="false" ht="15" hidden="false" customHeight="false" outlineLevel="0" collapsed="false">
      <c r="A25" s="5" t="s">
        <v>94</v>
      </c>
      <c r="C25" s="11" t="s">
        <v>95</v>
      </c>
      <c r="D25" s="11"/>
      <c r="E25" s="11"/>
      <c r="F25" s="12"/>
      <c r="G25" s="5" t="str">
        <f aca="false">IF(F25="","",IF(ROUND(F25,3)=ROUND(6,3),"✓","✗"))</f>
        <v/>
      </c>
    </row>
  </sheetData>
  <mergeCells count="4">
    <mergeCell ref="C19:E19"/>
    <mergeCell ref="C21:E21"/>
    <mergeCell ref="C23:E23"/>
    <mergeCell ref="C25:E25"/>
  </mergeCells>
  <conditionalFormatting sqref="A1:J25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96</v>
      </c>
    </row>
    <row r="3" customFormat="false" ht="15" hidden="false" customHeight="false" outlineLevel="0" collapsed="false">
      <c r="A3" s="2" t="s">
        <v>97</v>
      </c>
    </row>
    <row r="5" customFormat="false" ht="15" hidden="false" customHeight="false" outlineLevel="0" collapsed="false">
      <c r="A5" s="4" t="s">
        <v>98</v>
      </c>
    </row>
    <row r="7" customFormat="false" ht="15" hidden="false" customHeight="false" outlineLevel="0" collapsed="false">
      <c r="A7" s="5" t="s">
        <v>99</v>
      </c>
      <c r="B7" s="7" t="s">
        <v>100</v>
      </c>
    </row>
    <row r="8" customFormat="false" ht="15" hidden="false" customHeight="false" outlineLevel="0" collapsed="false">
      <c r="A8" s="5" t="s">
        <v>101</v>
      </c>
      <c r="B8" s="7" t="s">
        <v>102</v>
      </c>
    </row>
    <row r="9" customFormat="false" ht="15" hidden="false" customHeight="false" outlineLevel="0" collapsed="false">
      <c r="A9" s="5" t="s">
        <v>103</v>
      </c>
      <c r="B9" s="7" t="n">
        <v>7</v>
      </c>
    </row>
    <row r="11" customFormat="false" ht="15" hidden="false" customHeight="false" outlineLevel="0" collapsed="false">
      <c r="A11" s="4" t="s">
        <v>104</v>
      </c>
    </row>
    <row r="13" customFormat="false" ht="15" hidden="false" customHeight="false" outlineLevel="0" collapsed="false">
      <c r="A13" s="5" t="s">
        <v>105</v>
      </c>
      <c r="B13" s="7" t="s">
        <v>106</v>
      </c>
    </row>
    <row r="14" customFormat="false" ht="15" hidden="false" customHeight="false" outlineLevel="0" collapsed="false">
      <c r="A14" s="5" t="s">
        <v>58</v>
      </c>
      <c r="B14" s="7" t="s">
        <v>107</v>
      </c>
    </row>
    <row r="16" customFormat="false" ht="15" hidden="false" customHeight="false" outlineLevel="0" collapsed="false">
      <c r="A16" s="4" t="s">
        <v>108</v>
      </c>
    </row>
    <row r="18" customFormat="false" ht="15" hidden="false" customHeight="false" outlineLevel="0" collapsed="false">
      <c r="A18" s="5" t="s">
        <v>109</v>
      </c>
      <c r="B18" s="7" t="n">
        <v>0.00625</v>
      </c>
    </row>
    <row r="19" customFormat="false" ht="15" hidden="false" customHeight="false" outlineLevel="0" collapsed="false">
      <c r="A19" s="5" t="s">
        <v>110</v>
      </c>
      <c r="B19" s="7" t="s">
        <v>111</v>
      </c>
    </row>
    <row r="20" customFormat="false" ht="15" hidden="false" customHeight="false" outlineLevel="0" collapsed="false">
      <c r="A20" s="5" t="s">
        <v>112</v>
      </c>
      <c r="B20" s="7" t="s">
        <v>113</v>
      </c>
    </row>
    <row r="22" customFormat="false" ht="15" hidden="false" customHeight="false" outlineLevel="0" collapsed="false">
      <c r="A22" s="4" t="s">
        <v>114</v>
      </c>
    </row>
    <row r="24" customFormat="false" ht="15" hidden="false" customHeight="false" outlineLevel="0" collapsed="false">
      <c r="A24" s="5" t="s">
        <v>115</v>
      </c>
      <c r="B24" s="7" t="s">
        <v>116</v>
      </c>
    </row>
    <row r="25" customFormat="false" ht="15" hidden="false" customHeight="false" outlineLevel="0" collapsed="false">
      <c r="A25" s="5" t="s">
        <v>117</v>
      </c>
      <c r="B25" s="7" t="n">
        <v>6</v>
      </c>
    </row>
    <row r="26" customFormat="false" ht="15" hidden="false" customHeight="false" outlineLevel="0" collapsed="false">
      <c r="A26" s="5" t="s">
        <v>118</v>
      </c>
      <c r="B26" s="7" t="n">
        <v>6</v>
      </c>
    </row>
    <row r="27" customFormat="false" ht="15" hidden="false" customHeight="false" outlineLevel="0" collapsed="false">
      <c r="A27" s="5" t="s">
        <v>119</v>
      </c>
      <c r="B27" s="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2026-07-07T18:42:52Z</dcterms:created>
  <dc:creator>openpyxl</dc:creator>
  <dc:description/>
  <dc:language>en-US</dc:language>
  <cp:lastModifiedBy/>
  <dcterms:modified xsi:type="dcterms:W3CDTF">2026-07-07T18:42:52Z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