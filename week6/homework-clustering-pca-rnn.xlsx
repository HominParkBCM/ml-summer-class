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KMeans" sheetId="2" state="visible" r:id="rId4"/>
    <sheet name="Step2_Hierarchical" sheetId="3" state="visible" r:id="rId5"/>
    <sheet name="Step3_PVE" sheetId="4" state="visible" r:id="rId6"/>
    <sheet name="Step4_RNN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<sst xmlns="http://schemas.openxmlformats.org/spreadsheetml/2006/main" count="143" uniqueCount="119">
  <si>
    <t xml:space="preserve">[Description] K-Means, Hierarchical Clustering, PVE &amp; a Tiny RNN</t>
  </si>
  <si>
    <t xml:space="preserve">K-Means, Hierarchical Clustering, PVE &amp; a Tiny RNN — Homework Worksheet</t>
  </si>
  <si>
    <t xml:space="preserve">ML Summer Class · fill the YELLOW cells; each entry is auto-checked (✓/✗).</t>
  </si>
  <si>
    <t xml:space="preserve">Learning Objectives:</t>
  </si>
  <si>
    <t xml:space="preserve">1. Run two full iterations of K-means: assign, average, repeat</t>
  </si>
  <si>
    <t xml:space="preserve">2. Fuse clusters with complete linkage and read fusion heights</t>
  </si>
  <si>
    <t xml:space="preserve">3. Turn eigenvalues into proportions of variance explained</t>
  </si>
  <si>
    <t xml:space="preserve">4. Unroll a one-unit RNN over a short sequence</t>
  </si>
  <si>
    <t xml:space="preserve">Readings &amp; Slides:</t>
  </si>
  <si>
    <t xml:space="preserve">• ISLP §12.2 (PCA), §12.4 (Clustering), §10.5 (RNNs)</t>
  </si>
  <si>
    <t xml:space="preserve">• Week 6 slides: "K-means: pick K…", "The algorithm: assign, average, repeat", "How many components?", "The recurrent idea"</t>
  </si>
  <si>
    <t xml:space="preserve">Key Formulas:</t>
  </si>
  <si>
    <t xml:space="preserve">K-means objective</t>
  </si>
  <si>
    <t xml:space="preserve">minimize Σₖ W(Cₖ), W = Σᵢ∈Cₖ ‖xᵢ-centroidₖ‖²</t>
  </si>
  <si>
    <t xml:space="preserve">Complete linkage</t>
  </si>
  <si>
    <t xml:space="preserve">d(A,B) = max over pairs of inter-cluster distances</t>
  </si>
  <si>
    <t xml:space="preserve">PVE</t>
  </si>
  <si>
    <t xml:space="preserve">PVEₘ = λₘ / Σλⱼ</t>
  </si>
  <si>
    <t xml:space="preserve">RNN step</t>
  </si>
  <si>
    <t xml:space="preserve">Aₜ = ReLU(w·xₜ + u·Aₜ₋₁ + b)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</si>
  <si>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</si>
  <si>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</si>
  <si>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</si>
  <si>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</si>
  <si>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</si>
  <si>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two iterations of K-means with K=2</t>
  </si>
  <si>
    <t xml:space="preserve">Assign, average, repeat</t>
  </si>
  <si>
    <t xml:space="preserve">ISLP §12.4.1 · Week 6 slide "The algorithm: assign, average, repeat"</t>
  </si>
  <si>
    <t xml:space="preserve">GIVEN: six points; initial centroids c₁ = (1,1), c₂ = (2,1)</t>
  </si>
  <si>
    <t xml:space="preserve">Iteration 1: fill squared distances and the assignment (1 or 2)</t>
  </si>
  <si>
    <t xml:space="preserve">point</t>
  </si>
  <si>
    <t xml:space="preserve">X₁</t>
  </si>
  <si>
    <t xml:space="preserve">X₂</t>
  </si>
  <si>
    <t xml:space="preserve">d² to c₁</t>
  </si>
  <si>
    <t xml:space="preserve">d² to c₂</t>
  </si>
  <si>
    <t xml:space="preserve">cluster</t>
  </si>
  <si>
    <t xml:space="preserve">Check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</si>
  <si>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</si>
  <si>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</si>
  <si>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</si>
  <si>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</si>
  <si>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</si>
  <si>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</si>
  <si>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New centroid c₁ = (x, y): x =</t>
  </si>
  <si>
    <t xml:space="preserve">average of cluster-1 points</t>
  </si>
  <si>
    <t xml:space="preserve">Your Answer:</t>
  </si>
  <si>
    <t xml:space="preserve">New centroid c₁: y =</t>
  </si>
  <si>
    <t xml:space="preserve">New centroid c₂: x =</t>
  </si>
  <si>
    <t xml:space="preserve">average of cluster-2 points</t>
  </si>
  <si>
    <t xml:space="preserve">New centroid c₂: y =</t>
  </si>
  <si>
    <t xml:space="preserve">Iteration 2: only one point should switch</t>
  </si>
  <si>
    <t xml:space="preserve">Which point switches cluster?</t>
  </si>
  <si>
    <t xml:space="preserve">recompute its two distances</t>
  </si>
  <si>
    <t xml:space="preserve">Final cluster-1 size =</t>
  </si>
  <si>
    <t xml:space="preserve">[Description] STEP 2: complete-linkage hierarchical clustering of 4 points</t>
  </si>
  <si>
    <t xml:space="preserve">Grow the dendrogram</t>
  </si>
  <si>
    <t xml:space="preserve">ISLP §12.4.2 · Week 6 slides "Hierarchical clustering", "Reading a dendrogram"</t>
  </si>
  <si>
    <t xml:space="preserve">GIVEN: pairwise Euclidean distances</t>
  </si>
  <si>
    <t xml:space="preserve">A</t>
  </si>
  <si>
    <t xml:space="preserve">B</t>
  </si>
  <si>
    <t xml:space="preserve">C</t>
  </si>
  <si>
    <t xml:space="preserve">D</t>
  </si>
  <si>
    <t xml:space="preserve">Fusion 1: which pair? (e.g. "A-B")</t>
  </si>
  <si>
    <t xml:space="preserve">smallest distance</t>
  </si>
  <si>
    <t xml:space="preserve">Fusion 1 height =</t>
  </si>
  <si>
    <t xml:space="preserve">Fusion 2: which pair?</t>
  </si>
  <si>
    <t xml:space="preserve">Fusion 2 height =</t>
  </si>
  <si>
    <t xml:space="preserve">Fusion 3 height (complete linkage) =</t>
  </si>
  <si>
    <t xml:space="preserve">max of the 4 cross-pair distances</t>
  </si>
  <si>
    <t xml:space="preserve">Cutting at height 3 gives how many clusters?</t>
  </si>
  <si>
    <t xml:space="preserve">[Description] STEP 3: proportion of variance explained</t>
  </si>
  <si>
    <t xml:space="preserve">How many components?</t>
  </si>
  <si>
    <t xml:space="preserve">ISLP §12.2.3 · Week 6 slide "How many components? The scree plot"</t>
  </si>
  <si>
    <t xml:space="preserve">GIVEN: variances (eigenvalues) of the four PCs of a scaled dataset</t>
  </si>
  <si>
    <t xml:space="preserve">Fill PVE and cumulative PVE</t>
  </si>
  <si>
    <t xml:space="preserve">PC</t>
  </si>
  <si>
    <t xml:space="preserve">variance λ</t>
  </si>
  <si>
    <t xml:space="preserve">Cumulative PVE</t>
  </si>
  <si>
    <t xml:space="preserve">Total variance =</t>
  </si>
  <si>
    <t xml:space="preserve">the data were scaled — one per variable... sum λ</t>
  </si>
  <si>
    <t xml:space="preserve">PCs needed for ≥ 85% =</t>
  </si>
  <si>
    <t xml:space="preserve">read the cumulative column</t>
  </si>
  <si>
    <t xml:space="preserve">[Description] STEP 4: unroll a one-unit RNN over three time steps</t>
  </si>
  <si>
    <t xml:space="preserve">Memory in a cell</t>
  </si>
  <si>
    <t xml:space="preserve">ISLP §10.5 · Week 6 slide "The recurrent idea: reuse one network, carry a memory"</t>
  </si>
  <si>
    <t xml:space="preserve">Aₜ = ReLU(w·xₜ + u·Aₜ₋₁ + b) with w = 1, u = 0.5, b = -1, A₀ = 0. Output o = 2·A₃ - 1.</t>
  </si>
  <si>
    <t xml:space="preserve">Fill the hidden state at each step for the sequence x = (2, 0, 3)</t>
  </si>
  <si>
    <t xml:space="preserve">t</t>
  </si>
  <si>
    <t xml:space="preserve">xₜ</t>
  </si>
  <si>
    <t xml:space="preserve">w·xₜ + u·Aₜ₋₁ + b</t>
  </si>
  <si>
    <t xml:space="preserve">Aₜ = ReLU(·)</t>
  </si>
  <si>
    <t xml:space="preserve">Output o = 2·A₃ - 1 =</t>
  </si>
  <si>
    <t xml:space="preserve">Same weights at every step? (Yes/No)</t>
  </si>
  <si>
    <t xml:space="preserve">the defining property of an RNN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</si>
  <si>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</si>
  <si>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</si>
  <si>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</si>
  <si>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Iter-1 assignments</t>
  </si>
  <si>
    <t xml:space="preserve">1, 2, 1, 2, 2, 2</t>
  </si>
  <si>
    <t xml:space="preserve">New centroids</t>
  </si>
  <si>
    <t xml:space="preserve">c₁=(1, 1.5), c₂=(4.5, 3.75)</t>
  </si>
  <si>
    <t xml:space="preserve">Switcher</t>
  </si>
  <si>
    <t xml:space="preserve">Final clusters</t>
  </si>
  <si>
    <t xml:space="preserve">{p1,p2,p3} and {p4,p5,p6}</t>
  </si>
  <si>
    <t xml:space="preserve">STEP 2</t>
  </si>
  <si>
    <t xml:space="preserve">Fusions</t>
  </si>
  <si>
    <t xml:space="preserve">A-B @ 1.0, C-D @ 1.41, all @ 5.1</t>
  </si>
  <si>
    <t xml:space="preserve">Cut at 3</t>
  </si>
  <si>
    <t xml:space="preserve">STEP 3</t>
  </si>
  <si>
    <t xml:space="preserve">0.62, 0.25, 0.09, 0.04</t>
  </si>
  <si>
    <t xml:space="preserve">Cumulative</t>
  </si>
  <si>
    <t xml:space="preserve">0.62, 0.87, 0.96, 1.00</t>
  </si>
  <si>
    <t xml:space="preserve">PCs for 85%</t>
  </si>
  <si>
    <t xml:space="preserve">STEP 4</t>
  </si>
  <si>
    <t xml:space="preserve">Pre-activations</t>
  </si>
  <si>
    <t xml:space="preserve">1, -0.5, 2</t>
  </si>
  <si>
    <t xml:space="preserve">Hidden states</t>
  </si>
  <si>
    <t xml:space="preserve">1, 0, 2</t>
  </si>
  <si>
    <t xml:space="preserve">Output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</si>
</sst>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6" customFormat="false" ht="15" hidden="false" customHeight="false" outlineLevel="0" collapsed="false">
      <c r="A26" s="4" t="s">
        <v>20</v>
      </c>
    </row>
    <row r="28" customFormat="false" ht="15" hidden="false" customHeight="false" outlineLevel="0" collapsed="false">
      <c r="B28" s="7" t="s">
        <v>21</v>
      </c>
    </row>
    <row r="29" customFormat="false" ht="15" hidden="false" customHeight="false" outlineLevel="0" collapsed="false">
      <c r="B29" s="6" t="s">
        <v>22</v>
      </c>
    </row>
    <row r="30" customFormat="false" ht="15" hidden="false" customHeight="false" outlineLevel="0" collapsed="false">
      <c r="B30" s="8" t="s">
        <v>23</v>
      </c>
    </row>
    <row r="31" customFormat="false" ht="15" hidden="false" customHeight="false" outlineLevel="0" collapsed="false">
      <c r="A31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6"/>
    <col collapsed="false" customWidth="true" hidden="false" outlineLevel="0" max="6" min="4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25</v>
      </c>
    </row>
    <row r="3" customFormat="false" ht="15" hidden="false" customHeight="false" outlineLevel="0" collapsed="false">
      <c r="A3" s="2" t="s">
        <v>26</v>
      </c>
    </row>
    <row r="5" customFormat="false" ht="15" hidden="false" customHeight="false" outlineLevel="0" collapsed="false">
      <c r="A5" s="9" t="s">
        <v>27</v>
      </c>
    </row>
    <row r="7" customFormat="false" ht="15" hidden="false" customHeight="false" outlineLevel="0" collapsed="false">
      <c r="A7" s="4" t="s">
        <v>28</v>
      </c>
    </row>
    <row r="9" customFormat="false" ht="15" hidden="false" customHeight="false" outlineLevel="0" collapsed="false">
      <c r="A9" s="4" t="s">
        <v>29</v>
      </c>
    </row>
    <row r="11" customFormat="false" ht="15" hidden="false" customHeight="false" outlineLevel="0" collapsed="false">
      <c r="A11" s="10" t="s">
        <v>30</v>
      </c>
      <c r="B11" s="10" t="s">
        <v>31</v>
      </c>
      <c r="C11" s="10" t="s">
        <v>32</v>
      </c>
      <c r="D11" s="10" t="s">
        <v>33</v>
      </c>
      <c r="E11" s="10" t="s">
        <v>34</v>
      </c>
      <c r="F11" s="10" t="s">
        <v>35</v>
      </c>
      <c r="G11" s="10" t="s">
        <v>36</v>
      </c>
    </row>
    <row r="12" customFormat="false" ht="15" hidden="false" customHeight="false" outlineLevel="0" collapsed="false">
      <c r="A12" s="7" t="s">
        <v>37</v>
      </c>
      <c r="B12" s="7" t="n">
        <v>1</v>
      </c>
      <c r="C12" s="7" t="n">
        <v>1</v>
      </c>
      <c r="D12" s="8"/>
      <c r="E12" s="8"/>
      <c r="F12" s="8"/>
      <c r="G12" s="5" t="str">
        <f aca="false">IF(COUNT(D12:F12)=0,"",IF(AND(ROUND(D12,3)=ROUND(0,3),ROUND(E12,3)=ROUND(1,3),ROUND(F12,3)=ROUND(1,3)),"✓","✗"))</f>
        <v/>
      </c>
    </row>
    <row r="13" customFormat="false" ht="15" hidden="false" customHeight="false" outlineLevel="0" collapsed="false">
      <c r="A13" s="7" t="s">
        <v>38</v>
      </c>
      <c r="B13" s="7" t="n">
        <v>2</v>
      </c>
      <c r="C13" s="7" t="n">
        <v>1</v>
      </c>
      <c r="D13" s="8"/>
      <c r="E13" s="8"/>
      <c r="F13" s="8"/>
      <c r="G13" s="5" t="str">
        <f aca="false">IF(COUNT(D13:F13)=0,"",IF(AND(ROUND(D13,3)=ROUND(1,3),ROUND(E13,3)=ROUND(0,3),ROUND(F13,3)=ROUND(2,3)),"✓","✗"))</f>
        <v/>
      </c>
    </row>
    <row r="14" customFormat="false" ht="15" hidden="false" customHeight="false" outlineLevel="0" collapsed="false">
      <c r="A14" s="7" t="s">
        <v>39</v>
      </c>
      <c r="B14" s="7" t="n">
        <v>1</v>
      </c>
      <c r="C14" s="7" t="n">
        <v>2</v>
      </c>
      <c r="D14" s="8"/>
      <c r="E14" s="8"/>
      <c r="F14" s="8"/>
      <c r="G14" s="5" t="str">
        <f aca="false">IF(COUNT(D14:F14)=0,"",IF(AND(ROUND(D14,3)=ROUND(1,3),ROUND(E14,3)=ROUND(2,3),ROUND(F14,3)=ROUND(1,3)),"✓","✗"))</f>
        <v/>
      </c>
    </row>
    <row r="15" customFormat="false" ht="15" hidden="false" customHeight="false" outlineLevel="0" collapsed="false">
      <c r="A15" s="7" t="s">
        <v>40</v>
      </c>
      <c r="B15" s="7" t="n">
        <v>5</v>
      </c>
      <c r="C15" s="7" t="n">
        <v>4</v>
      </c>
      <c r="D15" s="8"/>
      <c r="E15" s="8"/>
      <c r="F15" s="8"/>
      <c r="G15" s="5" t="str">
        <f aca="false">IF(COUNT(D15:F15)=0,"",IF(AND(ROUND(D15,3)=ROUND(25,3),ROUND(E15,3)=ROUND(18,3),ROUND(F15,3)=ROUND(2,3)),"✓","✗"))</f>
        <v/>
      </c>
    </row>
    <row r="16" customFormat="false" ht="15" hidden="false" customHeight="false" outlineLevel="0" collapsed="false">
      <c r="A16" s="7" t="s">
        <v>41</v>
      </c>
      <c r="B16" s="7" t="n">
        <v>6</v>
      </c>
      <c r="C16" s="7" t="n">
        <v>5</v>
      </c>
      <c r="D16" s="8"/>
      <c r="E16" s="8"/>
      <c r="F16" s="8"/>
      <c r="G16" s="5" t="str">
        <f aca="false">IF(COUNT(D16:F16)=0,"",IF(AND(ROUND(D16,3)=ROUND(41,3),ROUND(E16,3)=ROUND(32,3),ROUND(F16,3)=ROUND(2,3)),"✓","✗"))</f>
        <v/>
      </c>
    </row>
    <row r="17" customFormat="false" ht="15" hidden="false" customHeight="false" outlineLevel="0" collapsed="false">
      <c r="A17" s="7" t="s">
        <v>42</v>
      </c>
      <c r="B17" s="7" t="n">
        <v>5</v>
      </c>
      <c r="C17" s="7" t="n">
        <v>5</v>
      </c>
      <c r="D17" s="8"/>
      <c r="E17" s="8"/>
      <c r="F17" s="8"/>
      <c r="G17" s="5" t="str">
        <f aca="false">IF(COUNT(D17:F17)=0,"",IF(AND(ROUND(D17,3)=ROUND(32,3),ROUND(E17,3)=ROUND(25,3),ROUND(F17,3)=ROUND(2,3)),"✓","✗"))</f>
        <v/>
      </c>
    </row>
    <row r="19" customFormat="false" ht="15" hidden="false" customHeight="false" outlineLevel="0" collapsed="false">
      <c r="A19" s="5" t="s">
        <v>43</v>
      </c>
      <c r="D19" s="11" t="s">
        <v>44</v>
      </c>
      <c r="E19" s="11"/>
      <c r="F19" s="5" t="s">
        <v>45</v>
      </c>
      <c r="G19" s="12"/>
      <c r="H19" s="5" t="str">
        <f aca="false">IF(G19="","",IF(ROUND(G19,3)=ROUND(1,3),"✓","✗"))</f>
        <v/>
      </c>
    </row>
    <row r="21" customFormat="false" ht="15" hidden="false" customHeight="false" outlineLevel="0" collapsed="false">
      <c r="A21" s="5" t="s">
        <v>46</v>
      </c>
      <c r="D21" s="11"/>
      <c r="E21" s="11"/>
      <c r="F21" s="5" t="s">
        <v>45</v>
      </c>
      <c r="G21" s="12"/>
      <c r="H21" s="5" t="str">
        <f aca="false">IF(G21="","",IF(ROUND(G21,3)=ROUND(1.5,3),"✓","✗"))</f>
        <v/>
      </c>
    </row>
    <row r="23" customFormat="false" ht="15" hidden="false" customHeight="false" outlineLevel="0" collapsed="false">
      <c r="A23" s="5" t="s">
        <v>47</v>
      </c>
      <c r="D23" s="11" t="s">
        <v>48</v>
      </c>
      <c r="E23" s="11"/>
      <c r="F23" s="5" t="s">
        <v>45</v>
      </c>
      <c r="G23" s="12"/>
      <c r="H23" s="5" t="str">
        <f aca="false">IF(G23="","",IF(ROUND(G23,3)=ROUND(4.5,3),"✓","✗"))</f>
        <v/>
      </c>
    </row>
    <row r="25" customFormat="false" ht="15" hidden="false" customHeight="false" outlineLevel="0" collapsed="false">
      <c r="A25" s="5" t="s">
        <v>49</v>
      </c>
      <c r="D25" s="11"/>
      <c r="E25" s="11"/>
      <c r="F25" s="5" t="s">
        <v>45</v>
      </c>
      <c r="G25" s="12"/>
      <c r="H25" s="5" t="str">
        <f aca="false">IF(G25="","",IF(ROUND(G25,3)=ROUND(3.75,3),"✓","✗"))</f>
        <v/>
      </c>
    </row>
    <row r="27" customFormat="false" ht="15" hidden="false" customHeight="false" outlineLevel="0" collapsed="false">
      <c r="A27" s="4" t="s">
        <v>50</v>
      </c>
    </row>
    <row r="29" customFormat="false" ht="15" hidden="false" customHeight="false" outlineLevel="0" collapsed="false">
      <c r="A29" s="5" t="s">
        <v>51</v>
      </c>
      <c r="D29" s="11" t="s">
        <v>52</v>
      </c>
      <c r="E29" s="11"/>
      <c r="F29" s="5" t="s">
        <v>45</v>
      </c>
      <c r="G29" s="12"/>
      <c r="H29" s="5" t="str">
        <f aca="false">IF(G29="","",IF(UPPER(TRIM(G29))=UPPER("p2"),"✓","✗"))</f>
        <v/>
      </c>
    </row>
    <row r="31" customFormat="false" ht="15" hidden="false" customHeight="false" outlineLevel="0" collapsed="false">
      <c r="A31" s="5" t="s">
        <v>53</v>
      </c>
      <c r="D31" s="11"/>
      <c r="E31" s="11"/>
      <c r="F31" s="5" t="s">
        <v>45</v>
      </c>
      <c r="G31" s="12"/>
      <c r="H31" s="5" t="str">
        <f aca="false">IF(G31="","",IF(ROUND(G31,3)=ROUND(3,3),"✓","✗"))</f>
        <v/>
      </c>
    </row>
  </sheetData>
  <mergeCells count="6">
    <mergeCell ref="D19:E19"/>
    <mergeCell ref="D21:E21"/>
    <mergeCell ref="D23:E23"/>
    <mergeCell ref="D25:E25"/>
    <mergeCell ref="D29:E29"/>
    <mergeCell ref="D31:E31"/>
  </mergeCells>
  <conditionalFormatting sqref="A1:J31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8"/>
  </cols>
  <sheetData>
    <row r="1" customFormat="false" ht="15" hidden="false" customHeight="false" outlineLevel="0" collapsed="false">
      <c r="A1" s="1" t="s">
        <v>54</v>
      </c>
    </row>
    <row r="3" customFormat="false" ht="15" hidden="false" customHeight="false" outlineLevel="0" collapsed="false">
      <c r="A3" s="2" t="s">
        <v>55</v>
      </c>
    </row>
    <row r="5" customFormat="false" ht="15" hidden="false" customHeight="false" outlineLevel="0" collapsed="false">
      <c r="A5" s="9" t="s">
        <v>56</v>
      </c>
    </row>
    <row r="7" customFormat="false" ht="15" hidden="false" customHeight="false" outlineLevel="0" collapsed="false">
      <c r="A7" s="4" t="s">
        <v>57</v>
      </c>
    </row>
    <row r="9" customFormat="false" ht="15" hidden="false" customHeight="false" outlineLevel="0" collapsed="false">
      <c r="A9" s="10"/>
      <c r="B9" s="10" t="s">
        <v>58</v>
      </c>
      <c r="C9" s="10" t="s">
        <v>59</v>
      </c>
      <c r="D9" s="10" t="s">
        <v>60</v>
      </c>
      <c r="E9" s="10" t="s">
        <v>61</v>
      </c>
    </row>
    <row r="10" customFormat="false" ht="15" hidden="false" customHeight="false" outlineLevel="0" collapsed="false">
      <c r="A10" s="7" t="s">
        <v>58</v>
      </c>
      <c r="B10" s="7" t="n">
        <v>0</v>
      </c>
      <c r="C10" s="7" t="n">
        <v>1</v>
      </c>
      <c r="D10" s="7" t="n">
        <v>4</v>
      </c>
      <c r="E10" s="7" t="n">
        <v>5.1</v>
      </c>
    </row>
    <row r="11" customFormat="false" ht="15" hidden="false" customHeight="false" outlineLevel="0" collapsed="false">
      <c r="A11" s="7" t="s">
        <v>59</v>
      </c>
      <c r="B11" s="7" t="n">
        <v>1</v>
      </c>
      <c r="C11" s="7" t="n">
        <v>0</v>
      </c>
      <c r="D11" s="7" t="n">
        <v>4.12</v>
      </c>
      <c r="E11" s="7" t="n">
        <v>5</v>
      </c>
    </row>
    <row r="12" customFormat="false" ht="15" hidden="false" customHeight="false" outlineLevel="0" collapsed="false">
      <c r="A12" s="7" t="s">
        <v>60</v>
      </c>
      <c r="B12" s="7" t="n">
        <v>4</v>
      </c>
      <c r="C12" s="7" t="n">
        <v>4.12</v>
      </c>
      <c r="D12" s="7" t="n">
        <v>0</v>
      </c>
      <c r="E12" s="7" t="n">
        <v>1.41</v>
      </c>
    </row>
    <row r="13" customFormat="false" ht="15" hidden="false" customHeight="false" outlineLevel="0" collapsed="false">
      <c r="A13" s="7" t="s">
        <v>61</v>
      </c>
      <c r="B13" s="7" t="n">
        <v>5.1</v>
      </c>
      <c r="C13" s="7" t="n">
        <v>5</v>
      </c>
      <c r="D13" s="7" t="n">
        <v>1.41</v>
      </c>
      <c r="E13" s="7" t="n">
        <v>0</v>
      </c>
    </row>
    <row r="15" customFormat="false" ht="15" hidden="false" customHeight="false" outlineLevel="0" collapsed="false">
      <c r="A15" s="5" t="s">
        <v>62</v>
      </c>
      <c r="D15" s="11" t="s">
        <v>63</v>
      </c>
      <c r="E15" s="11"/>
      <c r="F15" s="5" t="s">
        <v>45</v>
      </c>
      <c r="G15" s="12"/>
      <c r="H15" s="5" t="str">
        <f aca="false">IF(G15="","",IF(UPPER(TRIM(G15))=UPPER("A-B"),"✓","✗"))</f>
        <v/>
      </c>
    </row>
    <row r="17" customFormat="false" ht="15" hidden="false" customHeight="false" outlineLevel="0" collapsed="false">
      <c r="A17" s="5" t="s">
        <v>64</v>
      </c>
      <c r="D17" s="11"/>
      <c r="E17" s="11"/>
      <c r="F17" s="5" t="s">
        <v>45</v>
      </c>
      <c r="G17" s="12"/>
      <c r="H17" s="5" t="str">
        <f aca="false">IF(G17="","",IF(ROUND(G17,3)=ROUND(1,3),"✓","✗"))</f>
        <v/>
      </c>
    </row>
    <row r="19" customFormat="false" ht="15" hidden="false" customHeight="false" outlineLevel="0" collapsed="false">
      <c r="A19" s="5" t="s">
        <v>65</v>
      </c>
      <c r="D19" s="11"/>
      <c r="E19" s="11"/>
      <c r="F19" s="5" t="s">
        <v>45</v>
      </c>
      <c r="G19" s="12"/>
      <c r="H19" s="5" t="str">
        <f aca="false">IF(G19="","",IF(UPPER(TRIM(G19))=UPPER("C-D"),"✓","✗"))</f>
        <v/>
      </c>
    </row>
    <row r="21" customFormat="false" ht="15" hidden="false" customHeight="false" outlineLevel="0" collapsed="false">
      <c r="A21" s="5" t="s">
        <v>66</v>
      </c>
      <c r="D21" s="11"/>
      <c r="E21" s="11"/>
      <c r="F21" s="5" t="s">
        <v>45</v>
      </c>
      <c r="G21" s="12"/>
      <c r="H21" s="5" t="str">
        <f aca="false">IF(G21="","",IF(ROUND(G21,3)=ROUND(1.41,3),"✓","✗"))</f>
        <v/>
      </c>
    </row>
    <row r="23" customFormat="false" ht="15" hidden="false" customHeight="false" outlineLevel="0" collapsed="false">
      <c r="A23" s="5" t="s">
        <v>67</v>
      </c>
      <c r="D23" s="11" t="s">
        <v>68</v>
      </c>
      <c r="E23" s="11"/>
      <c r="F23" s="5" t="s">
        <v>45</v>
      </c>
      <c r="G23" s="12"/>
      <c r="H23" s="5" t="str">
        <f aca="false">IF(G23="","",IF(ROUND(G23,3)=ROUND(5.1,3),"✓","✗"))</f>
        <v/>
      </c>
    </row>
    <row r="25" customFormat="false" ht="15" hidden="false" customHeight="false" outlineLevel="0" collapsed="false">
      <c r="A25" s="5" t="s">
        <v>69</v>
      </c>
      <c r="D25" s="11"/>
      <c r="E25" s="11"/>
      <c r="F25" s="5" t="s">
        <v>45</v>
      </c>
      <c r="G25" s="12"/>
      <c r="H25" s="5" t="str">
        <f aca="false">IF(G25="","",IF(ROUND(G25,3)=ROUND(2,3),"✓","✗"))</f>
        <v/>
      </c>
    </row>
  </sheetData>
  <mergeCells count="6">
    <mergeCell ref="D15:E15"/>
    <mergeCell ref="D17:E17"/>
    <mergeCell ref="D19:E19"/>
    <mergeCell ref="D21:E21"/>
    <mergeCell ref="D23:E23"/>
    <mergeCell ref="D25:E25"/>
  </mergeCells>
  <conditionalFormatting sqref="A1:J25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70</v>
      </c>
    </row>
    <row r="3" customFormat="false" ht="15" hidden="false" customHeight="false" outlineLevel="0" collapsed="false">
      <c r="A3" s="2" t="s">
        <v>71</v>
      </c>
    </row>
    <row r="5" customFormat="false" ht="15" hidden="false" customHeight="false" outlineLevel="0" collapsed="false">
      <c r="A5" s="9" t="s">
        <v>72</v>
      </c>
    </row>
    <row r="7" customFormat="false" ht="15" hidden="false" customHeight="false" outlineLevel="0" collapsed="false">
      <c r="A7" s="4" t="s">
        <v>73</v>
      </c>
    </row>
    <row r="9" customFormat="false" ht="15" hidden="false" customHeight="false" outlineLevel="0" collapsed="false">
      <c r="A9" s="4" t="s">
        <v>74</v>
      </c>
    </row>
    <row r="11" customFormat="false" ht="15" hidden="false" customHeight="false" outlineLevel="0" collapsed="false">
      <c r="A11" s="10" t="s">
        <v>75</v>
      </c>
      <c r="B11" s="10" t="s">
        <v>76</v>
      </c>
      <c r="C11" s="10" t="s">
        <v>16</v>
      </c>
      <c r="D11" s="10" t="s">
        <v>77</v>
      </c>
      <c r="E11" s="10" t="s">
        <v>36</v>
      </c>
    </row>
    <row r="12" customFormat="false" ht="15" hidden="false" customHeight="false" outlineLevel="0" collapsed="false">
      <c r="A12" s="7" t="n">
        <v>1</v>
      </c>
      <c r="B12" s="7" t="n">
        <v>6.2</v>
      </c>
      <c r="C12" s="8"/>
      <c r="D12" s="8"/>
      <c r="E12" s="5" t="str">
        <f aca="false">IF(COUNT(C12:D12)=0,"",IF(AND(ROUND(C12,3)=ROUND(0.62,3),ROUND(D12,3)=ROUND(0.62,3)),"✓","✗"))</f>
        <v/>
      </c>
    </row>
    <row r="13" customFormat="false" ht="15" hidden="false" customHeight="false" outlineLevel="0" collapsed="false">
      <c r="A13" s="7" t="n">
        <v>2</v>
      </c>
      <c r="B13" s="7" t="n">
        <v>2.5</v>
      </c>
      <c r="C13" s="8"/>
      <c r="D13" s="8"/>
      <c r="E13" s="5" t="str">
        <f aca="false">IF(COUNT(C13:D13)=0,"",IF(AND(ROUND(C13,3)=ROUND(0.25,3),ROUND(D13,3)=ROUND(0.87,3)),"✓","✗"))</f>
        <v/>
      </c>
    </row>
    <row r="14" customFormat="false" ht="15" hidden="false" customHeight="false" outlineLevel="0" collapsed="false">
      <c r="A14" s="7" t="n">
        <v>3</v>
      </c>
      <c r="B14" s="7" t="n">
        <v>0.9</v>
      </c>
      <c r="C14" s="8"/>
      <c r="D14" s="8"/>
      <c r="E14" s="5" t="str">
        <f aca="false">IF(COUNT(C14:D14)=0,"",IF(AND(ROUND(C14,3)=ROUND(0.09,3),ROUND(D14,3)=ROUND(0.96,3)),"✓","✗"))</f>
        <v/>
      </c>
    </row>
    <row r="15" customFormat="false" ht="15" hidden="false" customHeight="false" outlineLevel="0" collapsed="false">
      <c r="A15" s="7" t="n">
        <v>4</v>
      </c>
      <c r="B15" s="7" t="n">
        <v>0.4</v>
      </c>
      <c r="C15" s="8"/>
      <c r="D15" s="8"/>
      <c r="E15" s="5" t="str">
        <f aca="false">IF(COUNT(C15:D15)=0,"",IF(AND(ROUND(C15,3)=ROUND(0.04,3),ROUND(D15,3)=ROUND(1,3)),"✓","✗"))</f>
        <v/>
      </c>
    </row>
    <row r="17" customFormat="false" ht="15" hidden="false" customHeight="false" outlineLevel="0" collapsed="false">
      <c r="A17" s="5" t="s">
        <v>78</v>
      </c>
      <c r="D17" s="11" t="s">
        <v>79</v>
      </c>
      <c r="E17" s="11"/>
      <c r="F17" s="5" t="s">
        <v>45</v>
      </c>
      <c r="G17" s="12"/>
      <c r="H17" s="5" t="str">
        <f aca="false">IF(G17="","",IF(ROUND(G17,3)=ROUND(10,3),"✓","✗"))</f>
        <v/>
      </c>
    </row>
    <row r="19" customFormat="false" ht="15" hidden="false" customHeight="false" outlineLevel="0" collapsed="false">
      <c r="A19" s="5" t="s">
        <v>80</v>
      </c>
      <c r="D19" s="11" t="s">
        <v>81</v>
      </c>
      <c r="E19" s="11"/>
      <c r="F19" s="5" t="s">
        <v>45</v>
      </c>
      <c r="G19" s="12"/>
      <c r="H19" s="5" t="str">
        <f aca="false">IF(G19="","",IF(ROUND(G19,3)=ROUND(2,3),"✓","✗"))</f>
        <v/>
      </c>
    </row>
  </sheetData>
  <mergeCells count="2">
    <mergeCell ref="D17:E17"/>
    <mergeCell ref="D19:E19"/>
  </mergeCells>
  <conditionalFormatting sqref="A1:J19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82</v>
      </c>
    </row>
    <row r="3" customFormat="false" ht="15" hidden="false" customHeight="false" outlineLevel="0" collapsed="false">
      <c r="A3" s="2" t="s">
        <v>83</v>
      </c>
    </row>
    <row r="5" customFormat="false" ht="15" hidden="false" customHeight="false" outlineLevel="0" collapsed="false">
      <c r="A5" s="9" t="s">
        <v>84</v>
      </c>
    </row>
    <row r="7" customFormat="false" ht="15" hidden="false" customHeight="false" outlineLevel="0" collapsed="false">
      <c r="A7" s="5" t="s">
        <v>85</v>
      </c>
    </row>
    <row r="9" customFormat="false" ht="15" hidden="false" customHeight="false" outlineLevel="0" collapsed="false">
      <c r="A9" s="4" t="s">
        <v>86</v>
      </c>
    </row>
    <row r="11" customFormat="false" ht="15" hidden="false" customHeight="false" outlineLevel="0" collapsed="false">
      <c r="A11" s="10" t="s">
        <v>87</v>
      </c>
      <c r="B11" s="10" t="s">
        <v>88</v>
      </c>
      <c r="C11" s="10" t="s">
        <v>89</v>
      </c>
      <c r="D11" s="10" t="s">
        <v>90</v>
      </c>
      <c r="E11" s="10" t="s">
        <v>36</v>
      </c>
    </row>
    <row r="12" customFormat="false" ht="15" hidden="false" customHeight="false" outlineLevel="0" collapsed="false">
      <c r="A12" s="7" t="n">
        <v>1</v>
      </c>
      <c r="B12" s="7" t="n">
        <v>2</v>
      </c>
      <c r="C12" s="8"/>
      <c r="D12" s="8"/>
      <c r="E12" s="5" t="str">
        <f aca="false">IF(COUNT(C12:D12)=0,"",IF(AND(ROUND(C12,3)=ROUND(1,3),ROUND(D12,3)=ROUND(1,3)),"✓","✗"))</f>
        <v/>
      </c>
    </row>
    <row r="13" customFormat="false" ht="15" hidden="false" customHeight="false" outlineLevel="0" collapsed="false">
      <c r="A13" s="7" t="n">
        <v>2</v>
      </c>
      <c r="B13" s="7" t="n">
        <v>0</v>
      </c>
      <c r="C13" s="8"/>
      <c r="D13" s="8"/>
      <c r="E13" s="5" t="str">
        <f aca="false">IF(COUNT(C13:D13)=0,"",IF(AND(ROUND(C13,3)=ROUND(-0.5,3),ROUND(D13,3)=ROUND(0,3)),"✓","✗"))</f>
        <v/>
      </c>
    </row>
    <row r="14" customFormat="false" ht="15" hidden="false" customHeight="false" outlineLevel="0" collapsed="false">
      <c r="A14" s="7" t="n">
        <v>3</v>
      </c>
      <c r="B14" s="7" t="n">
        <v>3</v>
      </c>
      <c r="C14" s="8"/>
      <c r="D14" s="8"/>
      <c r="E14" s="5" t="str">
        <f aca="false">IF(COUNT(C14:D14)=0,"",IF(AND(ROUND(C14,3)=ROUND(2,3),ROUND(D14,3)=ROUND(2,3)),"✓","✗"))</f>
        <v/>
      </c>
    </row>
    <row r="16" customFormat="false" ht="15" hidden="false" customHeight="false" outlineLevel="0" collapsed="false">
      <c r="A16" s="5" t="s">
        <v>91</v>
      </c>
      <c r="D16" s="11"/>
      <c r="E16" s="11"/>
      <c r="F16" s="5" t="s">
        <v>45</v>
      </c>
      <c r="G16" s="12"/>
      <c r="H16" s="5" t="str">
        <f aca="false">IF(G16="","",IF(ROUND(G16,3)=ROUND(3,3),"✓","✗"))</f>
        <v/>
      </c>
    </row>
    <row r="18" customFormat="false" ht="15" hidden="false" customHeight="false" outlineLevel="0" collapsed="false">
      <c r="A18" s="5" t="s">
        <v>92</v>
      </c>
      <c r="D18" s="11" t="s">
        <v>93</v>
      </c>
      <c r="E18" s="11"/>
      <c r="F18" s="5" t="s">
        <v>45</v>
      </c>
      <c r="G18" s="12"/>
      <c r="H18" s="5" t="str">
        <f aca="false">IF(G18="","",IF(UPPER(TRIM(G18))=UPPER("Yes"),"✓","✗"))</f>
        <v/>
      </c>
    </row>
  </sheetData>
  <mergeCells count="2">
    <mergeCell ref="D16:E16"/>
    <mergeCell ref="D18:E18"/>
  </mergeCells>
  <conditionalFormatting sqref="A1:J18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94</v>
      </c>
    </row>
    <row r="3" customFormat="false" ht="15" hidden="false" customHeight="false" outlineLevel="0" collapsed="false">
      <c r="A3" s="2" t="s">
        <v>95</v>
      </c>
    </row>
    <row r="5" customFormat="false" ht="15" hidden="false" customHeight="false" outlineLevel="0" collapsed="false">
      <c r="A5" s="4" t="s">
        <v>96</v>
      </c>
    </row>
    <row r="7" customFormat="false" ht="15" hidden="false" customHeight="false" outlineLevel="0" collapsed="false">
      <c r="A7" s="5" t="s">
        <v>97</v>
      </c>
      <c r="B7" s="7" t="s">
        <v>98</v>
      </c>
    </row>
    <row r="8" customFormat="false" ht="15" hidden="false" customHeight="false" outlineLevel="0" collapsed="false">
      <c r="A8" s="5" t="s">
        <v>99</v>
      </c>
      <c r="B8" s="7" t="s">
        <v>100</v>
      </c>
    </row>
    <row r="9" customFormat="false" ht="15" hidden="false" customHeight="false" outlineLevel="0" collapsed="false">
      <c r="A9" s="5" t="s">
        <v>101</v>
      </c>
      <c r="B9" s="7" t="s">
        <v>38</v>
      </c>
    </row>
    <row r="10" customFormat="false" ht="15" hidden="false" customHeight="false" outlineLevel="0" collapsed="false">
      <c r="A10" s="5" t="s">
        <v>102</v>
      </c>
      <c r="B10" s="7" t="s">
        <v>103</v>
      </c>
    </row>
    <row r="12" customFormat="false" ht="15" hidden="false" customHeight="false" outlineLevel="0" collapsed="false">
      <c r="A12" s="4" t="s">
        <v>104</v>
      </c>
    </row>
    <row r="14" customFormat="false" ht="15" hidden="false" customHeight="false" outlineLevel="0" collapsed="false">
      <c r="A14" s="5" t="s">
        <v>105</v>
      </c>
      <c r="B14" s="7" t="s">
        <v>106</v>
      </c>
    </row>
    <row r="15" customFormat="false" ht="15" hidden="false" customHeight="false" outlineLevel="0" collapsed="false">
      <c r="A15" s="5" t="s">
        <v>107</v>
      </c>
      <c r="B15" s="7" t="n">
        <v>2</v>
      </c>
    </row>
    <row r="17" customFormat="false" ht="15" hidden="false" customHeight="false" outlineLevel="0" collapsed="false">
      <c r="A17" s="4" t="s">
        <v>108</v>
      </c>
    </row>
    <row r="19" customFormat="false" ht="15" hidden="false" customHeight="false" outlineLevel="0" collapsed="false">
      <c r="A19" s="5" t="s">
        <v>16</v>
      </c>
      <c r="B19" s="7" t="s">
        <v>109</v>
      </c>
    </row>
    <row r="20" customFormat="false" ht="15" hidden="false" customHeight="false" outlineLevel="0" collapsed="false">
      <c r="A20" s="5" t="s">
        <v>110</v>
      </c>
      <c r="B20" s="7" t="s">
        <v>111</v>
      </c>
    </row>
    <row r="21" customFormat="false" ht="15" hidden="false" customHeight="false" outlineLevel="0" collapsed="false">
      <c r="A21" s="5" t="s">
        <v>112</v>
      </c>
      <c r="B21" s="7" t="n">
        <v>2</v>
      </c>
    </row>
    <row r="23" customFormat="false" ht="15" hidden="false" customHeight="false" outlineLevel="0" collapsed="false">
      <c r="A23" s="4" t="s">
        <v>113</v>
      </c>
    </row>
    <row r="25" customFormat="false" ht="15" hidden="false" customHeight="false" outlineLevel="0" collapsed="false">
      <c r="A25" s="5" t="s">
        <v>114</v>
      </c>
      <c r="B25" s="7" t="s">
        <v>115</v>
      </c>
    </row>
    <row r="26" customFormat="false" ht="15" hidden="false" customHeight="false" outlineLevel="0" collapsed="false">
      <c r="A26" s="5" t="s">
        <v>116</v>
      </c>
      <c r="B26" s="7" t="s">
        <v>117</v>
      </c>
    </row>
    <row r="27" customFormat="false" ht="15" hidden="false" customHeight="false" outlineLevel="0" collapsed="false">
      <c r="A27" s="5" t="s">
        <v>118</v>
      </c>
      <c r="B27" s="7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2026-07-07T19:42:59Z</dcterms:created>
  <dc:creator>openpyxl</dc:creator>
  <dc:description/>
  <dc:language>en-US</dc:language>
  <cp:lastModifiedBy/>
  <dcterms:modified xsi:type="dcterms:W3CDTF">2026-07-07T19:42:59Z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