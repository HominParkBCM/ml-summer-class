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Fit_Line" sheetId="2" state="visible" r:id="rId4"/>
    <sheet name="Step2_Inference" sheetId="3" state="visible" r:id="rId5"/>
    <sheet name="Step3_Logistic" sheetId="4" state="visible" r:id="rId6"/>
    <sheet name="Step4_Confusion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<sst xmlns="http://schemas.openxmlformats.org/spreadsheetml/2006/main" count="177" uniqueCount="145">
  <si>
    <t xml:space="preserve">[Description] Regression &amp; Classification</t>
  </si>
  <si>
    <t xml:space="preserve">Regression &amp; Classification — Homework Worksheet</t>
  </si>
  <si>
    <t xml:space="preserve">ML Summer Class · fill the YELLOW cells; each entry is auto-checked (✓/✗).</t>
  </si>
  <si>
    <t xml:space="preserve">Learning Objectives:</t>
  </si>
  <si>
    <t xml:space="preserve">1. Fit a simple linear regression by hand on an Advertising-style mini dataset</t>
  </si>
  <si>
    <t xml:space="preserve">2. Judge the fit: residuals, RSE, R², and the t-test for the slope</t>
  </si>
  <si>
    <t xml:space="preserve">3. Turn a fitted logistic regression into probabilities and odds</t>
  </si>
  <si>
    <t xml:space="preserve">4. Build a confusion matrix and compute sensitivity / specificity</t>
  </si>
  <si>
    <t xml:space="preserve">Readings &amp; Slides:</t>
  </si>
  <si>
    <t xml:space="preserve">• ISLP §3.1 (Simple Linear Regression), §4.3 (Logistic Regression), §4.4.2 (confusion matrices)</t>
  </si>
  <si>
    <t xml:space="preserve">• Week 2 slides: "Least squares", "How wrong could our estimates be?", "The logistic model", "Accuracy is not enough"</t>
  </si>
  <si>
    <t xml:space="preserve">Key Formulas:</t>
  </si>
  <si>
    <t xml:space="preserve">Slope</t>
  </si>
  <si>
    <t xml:space="preserve">β̂₁ = Σ(xᵢ-x̄)(yᵢ-ȳ) / Σ(xᵢ-x̄)²</t>
  </si>
  <si>
    <t xml:space="preserve">Intercept</t>
  </si>
  <si>
    <t xml:space="preserve">β̂₀ = ȳ - β̂₁x̄</t>
  </si>
  <si>
    <t xml:space="preserve">RSE</t>
  </si>
  <si>
    <t xml:space="preserve">RSE = √(RSS/(n-2))    SE(β̂₁) = RSE/√Σ(xᵢ-x̄)²</t>
  </si>
  <si>
    <t xml:space="preserve">R²</t>
  </si>
  <si>
    <t xml:space="preserve">R² = 1 - RSS/TSS</t>
  </si>
  <si>
    <t xml:space="preserve">t</t>
  </si>
  <si>
    <t xml:space="preserve">t = β̂₁/SE(β̂₁)</t>
  </si>
  <si>
    <t xml:space="preserve">Logistic</t>
  </si>
  <si>
    <t xml:space="preserve">p(X) = e^(β₀+β₁X)/(1+e^(β₀+β₁X)),   log-odds = β₀+β₁X</t>
  </si>
  <si>
    <t xml:space="preserve">Sensitivity / Specificity</t>
  </si>
  <si>
    <t xml:space="preserve">TP/(TP+FN)  ·  TN/(TN+FP)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</si>
  <si>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</si>
  <si>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</si>
  <si>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</si>
  <si>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</si>
  <si>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</si>
  <si>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Estimate slope and intercept by least squares</t>
  </si>
  <si>
    <t xml:space="preserve">TV budget vs sales (5 mini-markets)</t>
  </si>
  <si>
    <t xml:space="preserve">ISLP §3.1.1 · Week 2 slide "Least squares: how the line is chosen"</t>
  </si>
  <si>
    <t xml:space="preserve">GIVEN DATA  (x = TV budget in $10k, y = sales in 1k units)</t>
  </si>
  <si>
    <t xml:space="preserve">i</t>
  </si>
  <si>
    <t xml:space="preserve">xᵢ</t>
  </si>
  <si>
    <t xml:space="preserve">yᵢ</t>
  </si>
  <si>
    <t xml:space="preserve">x̄ =</t>
  </si>
  <si>
    <t xml:space="preserve">Σxᵢ/5</t>
  </si>
  <si>
    <t xml:space="preserve">Your Answer:</t>
  </si>
  <si>
    <t xml:space="preserve">ȳ =</t>
  </si>
  <si>
    <t xml:space="preserve">Σyᵢ/5</t>
  </si>
  <si>
    <t xml:space="preserve">STEP 1b: deviations</t>
  </si>
  <si>
    <t xml:space="preserve">xᵢ-x̄</t>
  </si>
  <si>
    <t xml:space="preserve">yᵢ-ȳ</t>
  </si>
  <si>
    <t xml:space="preserve">(xᵢ-x̄)²</t>
  </si>
  <si>
    <t xml:space="preserve">(xᵢ-x̄)(yᵢ-ȳ)</t>
  </si>
  <si>
    <t xml:space="preserve">Check</t>
  </si>
  <si>
    <t xml:space="preserve">Σ(xᵢ-x̄)² =</t>
  </si>
  <si>
    <t xml:space="preserve">sum of column 4</t>
  </si>
  <si>
    <t xml:space="preserve">Σ(xᵢ-x̄)(yᵢ-ȳ) =</t>
  </si>
  <si>
    <t xml:space="preserve">sum of column 5</t>
  </si>
  <si>
    <t xml:space="preserve">β̂₁ =</t>
  </si>
  <si>
    <t xml:space="preserve">ratio of the two sums</t>
  </si>
  <si>
    <t xml:space="preserve">β̂₀ =</t>
  </si>
  <si>
    <t xml:space="preserve">ȳ - β̂₁·x̄</t>
  </si>
  <si>
    <t xml:space="preserve">[Description] STEP 2: residuals, RSE, R-squared, t-test</t>
  </si>
  <si>
    <t xml:space="preserve">Is the slope real?</t>
  </si>
  <si>
    <t xml:space="preserve">ISLP §3.1.2-3.1.3 · Week 2 slides "How wrong could our estimates be?", "How well does the line fit?"</t>
  </si>
  <si>
    <t xml:space="preserve">Use the fitted line ŷ = 2.8 + 1.4x from Step 1.</t>
  </si>
  <si>
    <t xml:space="preserve">STEP 2a: fitted values and residuals</t>
  </si>
  <si>
    <t xml:space="preserve">ŷᵢ</t>
  </si>
  <si>
    <t xml:space="preserve">eᵢ = yᵢ-ŷᵢ</t>
  </si>
  <si>
    <t xml:space="preserve">eᵢ²</t>
  </si>
  <si>
    <t xml:space="preserve">RSS = Σeᵢ² =</t>
  </si>
  <si>
    <t xml:space="preserve">sum of last column</t>
  </si>
  <si>
    <t xml:space="preserve">RSE = √(RSS/(n-2)) =</t>
  </si>
  <si>
    <t xml:space="preserve">n = 5</t>
  </si>
  <si>
    <t xml:space="preserve">SE(β̂₁) = RSE/√10 =</t>
  </si>
  <si>
    <t xml:space="preserve">√Σ(xᵢ-x̄)² = √10</t>
  </si>
  <si>
    <t xml:space="preserve">t = β̂₁/SE(β̂₁) =</t>
  </si>
  <si>
    <t xml:space="preserve">compare to ±3.18 (t₃, 5%)</t>
  </si>
  <si>
    <t xml:space="preserve">TSS = Σ(yᵢ-ȳ)² =</t>
  </si>
  <si>
    <t xml:space="preserve">from Step 1 deviations: 9+1+0+1+9</t>
  </si>
  <si>
    <t xml:space="preserve">R² = 1 - RSS/TSS =</t>
  </si>
  <si>
    <t xml:space="preserve">Significant slope? (Yes/No)</t>
  </si>
  <si>
    <t xml:space="preserve">|t| vs 3.18</t>
  </si>
  <si>
    <t xml:space="preserve">[Description] STEP 3: from a fitted logistic model to probabilities</t>
  </si>
  <si>
    <t xml:space="preserve">Default-style prediction</t>
  </si>
  <si>
    <t xml:space="preserve">ISLP §4.3.1-4.3.3 · Week 2 slides "The logistic model", "Fitting and using it"</t>
  </si>
  <si>
    <t xml:space="preserve">A fitted model: log-odds = β̂₀ + β̂₁x with β̂₀ = -4, β̂₁ = 2   (x = balance in $1k).</t>
  </si>
  <si>
    <t xml:space="preserve">Fill log-odds, odds, and probability for each customer</t>
  </si>
  <si>
    <t xml:space="preserve">x (balance)</t>
  </si>
  <si>
    <t xml:space="preserve">log-odds = -4+2x</t>
  </si>
  <si>
    <t xml:space="preserve">odds = e^(log-odds)</t>
  </si>
  <si>
    <t xml:space="preserve">p = odds/(1+odds)</t>
  </si>
  <si>
    <t xml:space="preserve">Odds ratio for +1 unit of x =</t>
  </si>
  <si>
    <t xml:space="preserve">e^β₁</t>
  </si>
  <si>
    <t xml:space="preserve">At what x is p = 0.5?</t>
  </si>
  <si>
    <t xml:space="preserve">log-odds = 0</t>
  </si>
  <si>
    <t xml:space="preserve">[Description] STEP 4: confusion matrix at threshold 0.5</t>
  </si>
  <si>
    <t xml:space="preserve">Counting the two kinds of mistakes</t>
  </si>
  <si>
    <t xml:space="preserve">ISLP §4.4.2 · Week 2 slide "Accuracy is not enough: the confusion matrix"</t>
  </si>
  <si>
    <t xml:space="preserve">GIVEN: model probabilities and true classes (1 = event)</t>
  </si>
  <si>
    <t xml:space="preserve">case</t>
  </si>
  <si>
    <t xml:space="preserve">p̂</t>
  </si>
  <si>
    <t xml:space="preserve">true y</t>
  </si>
  <si>
    <t xml:space="preserve">Predict ŷ = 1 when p̂ ≥ 0.5.</t>
  </si>
  <si>
    <t xml:space="preserve">Fill the confusion matrix counts</t>
  </si>
  <si>
    <t xml:space="preserve">TP (ŷ=1, y=1) =</t>
  </si>
  <si>
    <t xml:space="preserve">FP (ŷ=1, y=0) =</t>
  </si>
  <si>
    <t xml:space="preserve">FN (ŷ=0, y=1) =</t>
  </si>
  <si>
    <t xml:space="preserve">TN (ŷ=0, y=0) =</t>
  </si>
  <si>
    <t xml:space="preserve">Accuracy =</t>
  </si>
  <si>
    <t xml:space="preserve">(TP+TN)/10</t>
  </si>
  <si>
    <t xml:space="preserve">Sensitivity =</t>
  </si>
  <si>
    <t xml:space="preserve">TP/(TP+FN)</t>
  </si>
  <si>
    <t xml:space="preserve">Specificity =</t>
  </si>
  <si>
    <t xml:space="preserve">TN/(TN+FP)</t>
  </si>
  <si>
    <t xml:space="preserve">Lowering the threshold raises… (Sensitivity/Specificity)</t>
  </si>
  <si>
    <t xml:space="preserve">think about which error you trade away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</si>
  <si>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</si>
  <si>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</si>
  <si>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</si>
  <si>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x̄, ȳ</t>
  </si>
  <si>
    <t xml:space="preserve">3, 7</t>
  </si>
  <si>
    <t xml:space="preserve">Σ(x-x̄)²</t>
  </si>
  <si>
    <t xml:space="preserve">Σ(x-x̄)(y-ȳ)</t>
  </si>
  <si>
    <t xml:space="preserve">β̂₁</t>
  </si>
  <si>
    <t xml:space="preserve">β̂₀</t>
  </si>
  <si>
    <t xml:space="preserve">STEP 2</t>
  </si>
  <si>
    <t xml:space="preserve">ŷ</t>
  </si>
  <si>
    <t xml:space="preserve">4.2, 5.6, 7.0, 8.4, 9.8</t>
  </si>
  <si>
    <t xml:space="preserve">e</t>
  </si>
  <si>
    <t xml:space="preserve">-0.2, 0.4, 0, -0.4, 0.2</t>
  </si>
  <si>
    <t xml:space="preserve">RSS</t>
  </si>
  <si>
    <t xml:space="preserve">SE(β̂₁)</t>
  </si>
  <si>
    <t xml:space="preserve">TSS</t>
  </si>
  <si>
    <t xml:space="preserve">Significant?</t>
  </si>
  <si>
    <t xml:space="preserve">Yes</t>
  </si>
  <si>
    <t xml:space="preserve">STEP 3</t>
  </si>
  <si>
    <t xml:space="preserve">log-odds at x=1,2,3</t>
  </si>
  <si>
    <t xml:space="preserve">-2, 0, 2</t>
  </si>
  <si>
    <t xml:space="preserve">p at x=1,2,3</t>
  </si>
  <si>
    <t xml:space="preserve">0.119, 0.500, 0.881</t>
  </si>
  <si>
    <t xml:space="preserve">Odds ratio e^2</t>
  </si>
  <si>
    <t xml:space="preserve">p=0.5 at x</t>
  </si>
  <si>
    <t xml:space="preserve">STEP 4</t>
  </si>
  <si>
    <t xml:space="preserve">TP, FP, FN, TN</t>
  </si>
  <si>
    <t xml:space="preserve">3, 1, 2, 4</t>
  </si>
  <si>
    <t xml:space="preserve">Accuracy</t>
  </si>
  <si>
    <t xml:space="preserve">Sensitivity</t>
  </si>
  <si>
    <t xml:space="preserve">Specificity</t>
  </si>
  <si>
    <t xml:space="preserve">Lower threshold raises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</si>
</sst>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5" customFormat="false" ht="15" hidden="false" customHeight="false" outlineLevel="0" collapsed="false">
      <c r="A25" s="5" t="s">
        <v>20</v>
      </c>
      <c r="B25" s="6" t="s">
        <v>21</v>
      </c>
    </row>
    <row r="26" customFormat="false" ht="15" hidden="false" customHeight="false" outlineLevel="0" collapsed="false">
      <c r="A26" s="5" t="s">
        <v>22</v>
      </c>
      <c r="B26" s="6" t="s">
        <v>23</v>
      </c>
    </row>
    <row r="27" customFormat="false" ht="15" hidden="false" customHeight="false" outlineLevel="0" collapsed="false">
      <c r="A27" s="5" t="s">
        <v>24</v>
      </c>
      <c r="B27" s="6" t="s">
        <v>25</v>
      </c>
    </row>
    <row r="29" customFormat="false" ht="15" hidden="false" customHeight="false" outlineLevel="0" collapsed="false">
      <c r="A29" s="4" t="s">
        <v>26</v>
      </c>
    </row>
    <row r="31" customFormat="false" ht="15" hidden="false" customHeight="false" outlineLevel="0" collapsed="false">
      <c r="B31" s="7" t="s">
        <v>27</v>
      </c>
    </row>
    <row r="32" customFormat="false" ht="15" hidden="false" customHeight="false" outlineLevel="0" collapsed="false">
      <c r="B32" s="6" t="s">
        <v>28</v>
      </c>
    </row>
    <row r="33" customFormat="false" ht="15" hidden="false" customHeight="false" outlineLevel="0" collapsed="false">
      <c r="B33" s="8" t="s">
        <v>29</v>
      </c>
    </row>
    <row r="34" customFormat="false" ht="15" hidden="false" customHeight="false" outlineLevel="0" collapsed="false">
      <c r="A34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31</v>
      </c>
    </row>
    <row r="3" customFormat="false" ht="15" hidden="false" customHeight="false" outlineLevel="0" collapsed="false">
      <c r="A3" s="2" t="s">
        <v>32</v>
      </c>
    </row>
    <row r="5" customFormat="false" ht="15" hidden="false" customHeight="false" outlineLevel="0" collapsed="false">
      <c r="A5" s="9" t="s">
        <v>33</v>
      </c>
    </row>
    <row r="7" customFormat="false" ht="15" hidden="false" customHeight="false" outlineLevel="0" collapsed="false">
      <c r="A7" s="4" t="s">
        <v>34</v>
      </c>
    </row>
    <row r="9" customFormat="false" ht="15" hidden="false" customHeight="false" outlineLevel="0" collapsed="false">
      <c r="A9" s="10" t="s">
        <v>35</v>
      </c>
      <c r="B9" s="10" t="s">
        <v>36</v>
      </c>
      <c r="C9" s="10" t="s">
        <v>37</v>
      </c>
    </row>
    <row r="10" customFormat="false" ht="15" hidden="false" customHeight="false" outlineLevel="0" collapsed="false">
      <c r="A10" s="7" t="n">
        <v>1</v>
      </c>
      <c r="B10" s="7" t="n">
        <v>1</v>
      </c>
      <c r="C10" s="7" t="n">
        <v>4</v>
      </c>
    </row>
    <row r="11" customFormat="false" ht="15" hidden="false" customHeight="false" outlineLevel="0" collapsed="false">
      <c r="A11" s="7" t="n">
        <v>2</v>
      </c>
      <c r="B11" s="7" t="n">
        <v>2</v>
      </c>
      <c r="C11" s="7" t="n">
        <v>6</v>
      </c>
    </row>
    <row r="12" customFormat="false" ht="15" hidden="false" customHeight="false" outlineLevel="0" collapsed="false">
      <c r="A12" s="7" t="n">
        <v>3</v>
      </c>
      <c r="B12" s="7" t="n">
        <v>3</v>
      </c>
      <c r="C12" s="7" t="n">
        <v>7</v>
      </c>
    </row>
    <row r="13" customFormat="false" ht="15" hidden="false" customHeight="false" outlineLevel="0" collapsed="false">
      <c r="A13" s="7" t="n">
        <v>4</v>
      </c>
      <c r="B13" s="7" t="n">
        <v>4</v>
      </c>
      <c r="C13" s="7" t="n">
        <v>8</v>
      </c>
    </row>
    <row r="14" customFormat="false" ht="15" hidden="false" customHeight="false" outlineLevel="0" collapsed="false">
      <c r="A14" s="7" t="n">
        <v>5</v>
      </c>
      <c r="B14" s="7" t="n">
        <v>5</v>
      </c>
      <c r="C14" s="7" t="n">
        <v>10</v>
      </c>
    </row>
    <row r="16" customFormat="false" ht="15" hidden="false" customHeight="false" outlineLevel="0" collapsed="false">
      <c r="A16" s="5" t="s">
        <v>38</v>
      </c>
      <c r="D16" s="11" t="s">
        <v>39</v>
      </c>
      <c r="E16" s="11"/>
      <c r="F16" s="5" t="s">
        <v>40</v>
      </c>
      <c r="G16" s="12"/>
      <c r="H16" s="5" t="str">
        <f aca="false">IF(G16="","",IF(ROUND(G16,3)=ROUND(3,3),"✓","✗"))</f>
        <v/>
      </c>
    </row>
    <row r="18" customFormat="false" ht="15" hidden="false" customHeight="false" outlineLevel="0" collapsed="false">
      <c r="A18" s="5" t="s">
        <v>41</v>
      </c>
      <c r="D18" s="11" t="s">
        <v>42</v>
      </c>
      <c r="E18" s="11"/>
      <c r="F18" s="5" t="s">
        <v>40</v>
      </c>
      <c r="G18" s="12"/>
      <c r="H18" s="5" t="str">
        <f aca="false">IF(G18="","",IF(ROUND(G18,3)=ROUND(7,3),"✓","✗"))</f>
        <v/>
      </c>
    </row>
    <row r="20" customFormat="false" ht="15" hidden="false" customHeight="false" outlineLevel="0" collapsed="false">
      <c r="A20" s="4" t="s">
        <v>43</v>
      </c>
    </row>
    <row r="22" customFormat="false" ht="15" hidden="false" customHeight="false" outlineLevel="0" collapsed="false">
      <c r="A22" s="10" t="s">
        <v>35</v>
      </c>
      <c r="B22" s="10" t="s">
        <v>44</v>
      </c>
      <c r="C22" s="10" t="s">
        <v>45</v>
      </c>
      <c r="D22" s="10" t="s">
        <v>46</v>
      </c>
      <c r="E22" s="10" t="s">
        <v>47</v>
      </c>
      <c r="F22" s="10" t="s">
        <v>48</v>
      </c>
    </row>
    <row r="23" customFormat="false" ht="15" hidden="false" customHeight="false" outlineLevel="0" collapsed="false">
      <c r="A23" s="7" t="n">
        <v>1</v>
      </c>
      <c r="B23" s="8"/>
      <c r="C23" s="8"/>
      <c r="D23" s="8"/>
      <c r="E23" s="8"/>
      <c r="F23" s="5" t="str">
        <f aca="false">IF(COUNT(B23:E23)=0,"",IF(AND(ROUND(B23,3)=ROUND(-2,3),ROUND(C23,3)=ROUND(-3,3),ROUND(D23,3)=ROUND(4,3),ROUND(E23,3)=ROUND(6,3)),"✓","✗"))</f>
        <v/>
      </c>
    </row>
    <row r="24" customFormat="false" ht="15" hidden="false" customHeight="false" outlineLevel="0" collapsed="false">
      <c r="A24" s="7" t="n">
        <v>2</v>
      </c>
      <c r="B24" s="8"/>
      <c r="C24" s="8"/>
      <c r="D24" s="8"/>
      <c r="E24" s="8"/>
      <c r="F24" s="5" t="str">
        <f aca="false">IF(COUNT(B24:E24)=0,"",IF(AND(ROUND(B24,3)=ROUND(-1,3),ROUND(C24,3)=ROUND(-1,3),ROUND(D24,3)=ROUND(1,3),ROUND(E24,3)=ROUND(1,3)),"✓","✗"))</f>
        <v/>
      </c>
    </row>
    <row r="25" customFormat="false" ht="15" hidden="false" customHeight="false" outlineLevel="0" collapsed="false">
      <c r="A25" s="7" t="n">
        <v>3</v>
      </c>
      <c r="B25" s="8"/>
      <c r="C25" s="8"/>
      <c r="D25" s="8"/>
      <c r="E25" s="8"/>
      <c r="F25" s="5" t="str">
        <f aca="false">IF(COUNT(B25:E25)=0,"",IF(AND(ROUND(B25,3)=ROUND(0,3),ROUND(C25,3)=ROUND(0,3),ROUND(D25,3)=ROUND(0,3),ROUND(E25,3)=ROUND(0,3)),"✓","✗"))</f>
        <v/>
      </c>
    </row>
    <row r="26" customFormat="false" ht="15" hidden="false" customHeight="false" outlineLevel="0" collapsed="false">
      <c r="A26" s="7" t="n">
        <v>4</v>
      </c>
      <c r="B26" s="8"/>
      <c r="C26" s="8"/>
      <c r="D26" s="8"/>
      <c r="E26" s="8"/>
      <c r="F26" s="5" t="str">
        <f aca="false">IF(COUNT(B26:E26)=0,"",IF(AND(ROUND(B26,3)=ROUND(1,3),ROUND(C26,3)=ROUND(1,3),ROUND(D26,3)=ROUND(1,3),ROUND(E26,3)=ROUND(1,3)),"✓","✗"))</f>
        <v/>
      </c>
    </row>
    <row r="27" customFormat="false" ht="15" hidden="false" customHeight="false" outlineLevel="0" collapsed="false">
      <c r="A27" s="7" t="n">
        <v>5</v>
      </c>
      <c r="B27" s="8"/>
      <c r="C27" s="8"/>
      <c r="D27" s="8"/>
      <c r="E27" s="8"/>
      <c r="F27" s="5" t="str">
        <f aca="false">IF(COUNT(B27:E27)=0,"",IF(AND(ROUND(B27,3)=ROUND(2,3),ROUND(C27,3)=ROUND(3,3),ROUND(D27,3)=ROUND(4,3),ROUND(E27,3)=ROUND(6,3)),"✓","✗"))</f>
        <v/>
      </c>
    </row>
    <row r="29" customFormat="false" ht="15" hidden="false" customHeight="false" outlineLevel="0" collapsed="false">
      <c r="A29" s="5" t="s">
        <v>49</v>
      </c>
      <c r="D29" s="11" t="s">
        <v>50</v>
      </c>
      <c r="E29" s="11"/>
      <c r="F29" s="5" t="s">
        <v>40</v>
      </c>
      <c r="G29" s="12"/>
      <c r="H29" s="5" t="str">
        <f aca="false">IF(G29="","",IF(ROUND(G29,3)=ROUND(10,3),"✓","✗"))</f>
        <v/>
      </c>
    </row>
    <row r="31" customFormat="false" ht="15" hidden="false" customHeight="false" outlineLevel="0" collapsed="false">
      <c r="A31" s="5" t="s">
        <v>51</v>
      </c>
      <c r="D31" s="11" t="s">
        <v>52</v>
      </c>
      <c r="E31" s="11"/>
      <c r="F31" s="5" t="s">
        <v>40</v>
      </c>
      <c r="G31" s="12"/>
      <c r="H31" s="5" t="str">
        <f aca="false">IF(G31="","",IF(ROUND(G31,3)=ROUND(14,3),"✓","✗"))</f>
        <v/>
      </c>
    </row>
    <row r="33" customFormat="false" ht="15" hidden="false" customHeight="false" outlineLevel="0" collapsed="false">
      <c r="A33" s="5" t="s">
        <v>53</v>
      </c>
      <c r="D33" s="11" t="s">
        <v>54</v>
      </c>
      <c r="E33" s="11"/>
      <c r="F33" s="5" t="s">
        <v>40</v>
      </c>
      <c r="G33" s="12"/>
      <c r="H33" s="5" t="str">
        <f aca="false">IF(G33="","",IF(ROUND(G33,3)=ROUND(1.4,3),"✓","✗"))</f>
        <v/>
      </c>
    </row>
    <row r="35" customFormat="false" ht="15" hidden="false" customHeight="false" outlineLevel="0" collapsed="false">
      <c r="A35" s="5" t="s">
        <v>55</v>
      </c>
      <c r="D35" s="11" t="s">
        <v>56</v>
      </c>
      <c r="E35" s="11"/>
      <c r="F35" s="5" t="s">
        <v>40</v>
      </c>
      <c r="G35" s="12"/>
      <c r="H35" s="5" t="str">
        <f aca="false">IF(G35="","",IF(ROUND(G35,3)=ROUND(2.8,3),"✓","✗"))</f>
        <v/>
      </c>
    </row>
  </sheetData>
  <mergeCells count="6">
    <mergeCell ref="D16:E16"/>
    <mergeCell ref="D18:E18"/>
    <mergeCell ref="D29:E29"/>
    <mergeCell ref="D31:E31"/>
    <mergeCell ref="D33:E33"/>
    <mergeCell ref="D35:E35"/>
  </mergeCells>
  <conditionalFormatting sqref="A1:J35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57</v>
      </c>
    </row>
    <row r="3" customFormat="false" ht="15" hidden="false" customHeight="false" outlineLevel="0" collapsed="false">
      <c r="A3" s="2" t="s">
        <v>58</v>
      </c>
    </row>
    <row r="5" customFormat="false" ht="15" hidden="false" customHeight="false" outlineLevel="0" collapsed="false">
      <c r="A5" s="9" t="s">
        <v>59</v>
      </c>
    </row>
    <row r="7" customFormat="false" ht="15" hidden="false" customHeight="false" outlineLevel="0" collapsed="false">
      <c r="A7" s="5" t="s">
        <v>60</v>
      </c>
    </row>
    <row r="9" customFormat="false" ht="15" hidden="false" customHeight="false" outlineLevel="0" collapsed="false">
      <c r="A9" s="4" t="s">
        <v>61</v>
      </c>
    </row>
    <row r="11" customFormat="false" ht="15" hidden="false" customHeight="false" outlineLevel="0" collapsed="false">
      <c r="A11" s="10" t="s">
        <v>35</v>
      </c>
      <c r="B11" s="10" t="s">
        <v>36</v>
      </c>
      <c r="C11" s="10" t="s">
        <v>37</v>
      </c>
      <c r="D11" s="10" t="s">
        <v>62</v>
      </c>
      <c r="E11" s="10" t="s">
        <v>63</v>
      </c>
      <c r="F11" s="10" t="s">
        <v>64</v>
      </c>
      <c r="G11" s="10" t="s">
        <v>48</v>
      </c>
    </row>
    <row r="12" customFormat="false" ht="15" hidden="false" customHeight="false" outlineLevel="0" collapsed="false">
      <c r="A12" s="7" t="n">
        <v>1</v>
      </c>
      <c r="B12" s="7" t="n">
        <v>1</v>
      </c>
      <c r="C12" s="7" t="n">
        <v>4</v>
      </c>
      <c r="D12" s="8"/>
      <c r="E12" s="8"/>
      <c r="F12" s="8"/>
      <c r="G12" s="5" t="str">
        <f aca="false">IF(COUNT(D12:F12)=0,"",IF(AND(ROUND(D12,3)=ROUND(4.2,3),ROUND(E12,3)=ROUND(-0.2,3),ROUND(F12,3)=ROUND(0.04,3)),"✓","✗"))</f>
        <v/>
      </c>
    </row>
    <row r="13" customFormat="false" ht="15" hidden="false" customHeight="false" outlineLevel="0" collapsed="false">
      <c r="A13" s="7" t="n">
        <v>2</v>
      </c>
      <c r="B13" s="7" t="n">
        <v>2</v>
      </c>
      <c r="C13" s="7" t="n">
        <v>6</v>
      </c>
      <c r="D13" s="8"/>
      <c r="E13" s="8"/>
      <c r="F13" s="8"/>
      <c r="G13" s="5" t="str">
        <f aca="false">IF(COUNT(D13:F13)=0,"",IF(AND(ROUND(D13,3)=ROUND(5.6,3),ROUND(E13,3)=ROUND(0.4,3),ROUND(F13,3)=ROUND(0.16,3)),"✓","✗"))</f>
        <v/>
      </c>
    </row>
    <row r="14" customFormat="false" ht="15" hidden="false" customHeight="false" outlineLevel="0" collapsed="false">
      <c r="A14" s="7" t="n">
        <v>3</v>
      </c>
      <c r="B14" s="7" t="n">
        <v>3</v>
      </c>
      <c r="C14" s="7" t="n">
        <v>7</v>
      </c>
      <c r="D14" s="8"/>
      <c r="E14" s="8"/>
      <c r="F14" s="8"/>
      <c r="G14" s="5" t="str">
        <f aca="false">IF(COUNT(D14:F14)=0,"",IF(AND(ROUND(D14,3)=ROUND(7,3),ROUND(E14,3)=ROUND(0,3),ROUND(F14,3)=ROUND(0,3)),"✓","✗"))</f>
        <v/>
      </c>
    </row>
    <row r="15" customFormat="false" ht="15" hidden="false" customHeight="false" outlineLevel="0" collapsed="false">
      <c r="A15" s="7" t="n">
        <v>4</v>
      </c>
      <c r="B15" s="7" t="n">
        <v>4</v>
      </c>
      <c r="C15" s="7" t="n">
        <v>8</v>
      </c>
      <c r="D15" s="8"/>
      <c r="E15" s="8"/>
      <c r="F15" s="8"/>
      <c r="G15" s="5" t="str">
        <f aca="false">IF(COUNT(D15:F15)=0,"",IF(AND(ROUND(D15,3)=ROUND(8.4,3),ROUND(E15,3)=ROUND(-0.4,3),ROUND(F15,3)=ROUND(0.16,3)),"✓","✗"))</f>
        <v/>
      </c>
    </row>
    <row r="16" customFormat="false" ht="15" hidden="false" customHeight="false" outlineLevel="0" collapsed="false">
      <c r="A16" s="7" t="n">
        <v>5</v>
      </c>
      <c r="B16" s="7" t="n">
        <v>5</v>
      </c>
      <c r="C16" s="7" t="n">
        <v>10</v>
      </c>
      <c r="D16" s="8"/>
      <c r="E16" s="8"/>
      <c r="F16" s="8"/>
      <c r="G16" s="5" t="str">
        <f aca="false">IF(COUNT(D16:F16)=0,"",IF(AND(ROUND(D16,3)=ROUND(9.8,3),ROUND(E16,3)=ROUND(0.2,3),ROUND(F16,3)=ROUND(0.04,3)),"✓","✗"))</f>
        <v/>
      </c>
    </row>
    <row r="18" customFormat="false" ht="15" hidden="false" customHeight="false" outlineLevel="0" collapsed="false">
      <c r="A18" s="5" t="s">
        <v>65</v>
      </c>
      <c r="D18" s="11" t="s">
        <v>66</v>
      </c>
      <c r="E18" s="11"/>
      <c r="F18" s="5" t="s">
        <v>40</v>
      </c>
      <c r="G18" s="12"/>
      <c r="H18" s="5" t="str">
        <f aca="false">IF(G18="","",IF(ROUND(G18,3)=ROUND(0.4,3),"✓","✗"))</f>
        <v/>
      </c>
    </row>
    <row r="20" customFormat="false" ht="15" hidden="false" customHeight="false" outlineLevel="0" collapsed="false">
      <c r="A20" s="5" t="s">
        <v>67</v>
      </c>
      <c r="D20" s="11" t="s">
        <v>68</v>
      </c>
      <c r="E20" s="11"/>
      <c r="F20" s="5" t="s">
        <v>40</v>
      </c>
      <c r="G20" s="12"/>
      <c r="H20" s="5" t="str">
        <f aca="false">IF(G20="","",IF(ROUND(G20,3)=ROUND(0.365148,3),"✓","✗"))</f>
        <v/>
      </c>
    </row>
    <row r="22" customFormat="false" ht="15" hidden="false" customHeight="false" outlineLevel="0" collapsed="false">
      <c r="A22" s="5" t="s">
        <v>69</v>
      </c>
      <c r="D22" s="11" t="s">
        <v>70</v>
      </c>
      <c r="E22" s="11"/>
      <c r="F22" s="5" t="s">
        <v>40</v>
      </c>
      <c r="G22" s="12"/>
      <c r="H22" s="5" t="str">
        <f aca="false">IF(G22="","",IF(ROUND(G22,3)=ROUND(0.11547,3),"✓","✗"))</f>
        <v/>
      </c>
    </row>
    <row r="24" customFormat="false" ht="15" hidden="false" customHeight="false" outlineLevel="0" collapsed="false">
      <c r="A24" s="5" t="s">
        <v>71</v>
      </c>
      <c r="D24" s="11" t="s">
        <v>72</v>
      </c>
      <c r="E24" s="11"/>
      <c r="F24" s="5" t="s">
        <v>40</v>
      </c>
      <c r="G24" s="12"/>
      <c r="H24" s="5" t="str">
        <f aca="false">IF(G24="","",IF(ROUND(G24,3)=ROUND(12.124356,3),"✓","✗"))</f>
        <v/>
      </c>
    </row>
    <row r="26" customFormat="false" ht="15" hidden="false" customHeight="false" outlineLevel="0" collapsed="false">
      <c r="A26" s="5" t="s">
        <v>73</v>
      </c>
      <c r="D26" s="11" t="s">
        <v>74</v>
      </c>
      <c r="E26" s="11"/>
      <c r="F26" s="5" t="s">
        <v>40</v>
      </c>
      <c r="G26" s="12"/>
      <c r="H26" s="5" t="str">
        <f aca="false">IF(G26="","",IF(ROUND(G26,3)=ROUND(20,3),"✓","✗"))</f>
        <v/>
      </c>
    </row>
    <row r="28" customFormat="false" ht="15" hidden="false" customHeight="false" outlineLevel="0" collapsed="false">
      <c r="A28" s="5" t="s">
        <v>75</v>
      </c>
      <c r="D28" s="11"/>
      <c r="E28" s="11"/>
      <c r="F28" s="5" t="s">
        <v>40</v>
      </c>
      <c r="G28" s="12"/>
      <c r="H28" s="5" t="str">
        <f aca="false">IF(G28="","",IF(ROUND(G28,3)=ROUND(0.98,3),"✓","✗"))</f>
        <v/>
      </c>
    </row>
    <row r="30" customFormat="false" ht="15" hidden="false" customHeight="false" outlineLevel="0" collapsed="false">
      <c r="A30" s="5" t="s">
        <v>76</v>
      </c>
      <c r="D30" s="11" t="s">
        <v>77</v>
      </c>
      <c r="E30" s="11"/>
      <c r="F30" s="5" t="s">
        <v>40</v>
      </c>
      <c r="G30" s="12"/>
      <c r="H30" s="5" t="str">
        <f aca="false">IF(G30="","",IF(UPPER(TRIM(G30))=UPPER("Yes"),"✓","✗"))</f>
        <v/>
      </c>
    </row>
  </sheetData>
  <mergeCells count="7">
    <mergeCell ref="D18:E18"/>
    <mergeCell ref="D20:E20"/>
    <mergeCell ref="D22:E22"/>
    <mergeCell ref="D24:E24"/>
    <mergeCell ref="D26:E26"/>
    <mergeCell ref="D28:E28"/>
    <mergeCell ref="D30:E30"/>
  </mergeCells>
  <conditionalFormatting sqref="A1:J3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78</v>
      </c>
    </row>
    <row r="3" customFormat="false" ht="15" hidden="false" customHeight="false" outlineLevel="0" collapsed="false">
      <c r="A3" s="2" t="s">
        <v>79</v>
      </c>
    </row>
    <row r="5" customFormat="false" ht="15" hidden="false" customHeight="false" outlineLevel="0" collapsed="false">
      <c r="A5" s="9" t="s">
        <v>80</v>
      </c>
    </row>
    <row r="7" customFormat="false" ht="15" hidden="false" customHeight="false" outlineLevel="0" collapsed="false">
      <c r="A7" s="5" t="s">
        <v>81</v>
      </c>
    </row>
    <row r="9" customFormat="false" ht="15" hidden="false" customHeight="false" outlineLevel="0" collapsed="false">
      <c r="A9" s="4" t="s">
        <v>82</v>
      </c>
    </row>
    <row r="11" customFormat="false" ht="15" hidden="false" customHeight="false" outlineLevel="0" collapsed="false">
      <c r="A11" s="10" t="s">
        <v>83</v>
      </c>
      <c r="B11" s="10" t="s">
        <v>84</v>
      </c>
      <c r="C11" s="10" t="s">
        <v>85</v>
      </c>
      <c r="D11" s="10" t="s">
        <v>86</v>
      </c>
      <c r="E11" s="10" t="s">
        <v>48</v>
      </c>
    </row>
    <row r="12" customFormat="false" ht="15" hidden="false" customHeight="false" outlineLevel="0" collapsed="false">
      <c r="A12" s="7" t="n">
        <v>1</v>
      </c>
      <c r="B12" s="8"/>
      <c r="C12" s="8"/>
      <c r="D12" s="8"/>
      <c r="E12" s="5" t="str">
        <f aca="false">IF(COUNT(B12:D12)=0,"",IF(AND(ROUND(B12,3)=ROUND(-2,3),ROUND(C12,3)=ROUND(0.135335,3),ROUND(D12,3)=ROUND(0.119203,3)),"✓","✗"))</f>
        <v/>
      </c>
    </row>
    <row r="13" customFormat="false" ht="15" hidden="false" customHeight="false" outlineLevel="0" collapsed="false">
      <c r="A13" s="7" t="n">
        <v>2</v>
      </c>
      <c r="B13" s="8"/>
      <c r="C13" s="8"/>
      <c r="D13" s="8"/>
      <c r="E13" s="5" t="str">
        <f aca="false">IF(COUNT(B13:D13)=0,"",IF(AND(ROUND(B13,3)=ROUND(0,3),ROUND(C13,3)=ROUND(1,3),ROUND(D13,3)=ROUND(0.5,3)),"✓","✗"))</f>
        <v/>
      </c>
    </row>
    <row r="14" customFormat="false" ht="15" hidden="false" customHeight="false" outlineLevel="0" collapsed="false">
      <c r="A14" s="7" t="n">
        <v>3</v>
      </c>
      <c r="B14" s="8"/>
      <c r="C14" s="8"/>
      <c r="D14" s="8"/>
      <c r="E14" s="5" t="str">
        <f aca="false">IF(COUNT(B14:D14)=0,"",IF(AND(ROUND(B14,3)=ROUND(2,3),ROUND(C14,3)=ROUND(7.389056,3),ROUND(D14,3)=ROUND(0.880797,3)),"✓","✗"))</f>
        <v/>
      </c>
    </row>
    <row r="16" customFormat="false" ht="15" hidden="false" customHeight="false" outlineLevel="0" collapsed="false">
      <c r="A16" s="5" t="s">
        <v>87</v>
      </c>
      <c r="D16" s="11" t="s">
        <v>88</v>
      </c>
      <c r="E16" s="11"/>
      <c r="F16" s="5" t="s">
        <v>40</v>
      </c>
      <c r="G16" s="12"/>
      <c r="H16" s="5" t="str">
        <f aca="false">IF(G16="","",IF(ROUND(G16,3)=ROUND(7.389056,3),"✓","✗"))</f>
        <v/>
      </c>
    </row>
    <row r="18" customFormat="false" ht="15" hidden="false" customHeight="false" outlineLevel="0" collapsed="false">
      <c r="A18" s="5" t="s">
        <v>89</v>
      </c>
      <c r="D18" s="11" t="s">
        <v>90</v>
      </c>
      <c r="E18" s="11"/>
      <c r="F18" s="5" t="s">
        <v>40</v>
      </c>
      <c r="G18" s="12"/>
      <c r="H18" s="5" t="str">
        <f aca="false">IF(G18="","",IF(ROUND(G18,3)=ROUND(2,3),"✓","✗"))</f>
        <v/>
      </c>
    </row>
  </sheetData>
  <mergeCells count="2">
    <mergeCell ref="D16:E16"/>
    <mergeCell ref="D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91</v>
      </c>
    </row>
    <row r="3" customFormat="false" ht="15" hidden="false" customHeight="false" outlineLevel="0" collapsed="false">
      <c r="A3" s="2" t="s">
        <v>92</v>
      </c>
    </row>
    <row r="5" customFormat="false" ht="15" hidden="false" customHeight="false" outlineLevel="0" collapsed="false">
      <c r="A5" s="9" t="s">
        <v>93</v>
      </c>
    </row>
    <row r="7" customFormat="false" ht="15" hidden="false" customHeight="false" outlineLevel="0" collapsed="false">
      <c r="A7" s="4" t="s">
        <v>94</v>
      </c>
    </row>
    <row r="9" customFormat="false" ht="15" hidden="false" customHeight="false" outlineLevel="0" collapsed="false">
      <c r="A9" s="10" t="s">
        <v>95</v>
      </c>
      <c r="B9" s="10" t="s">
        <v>96</v>
      </c>
      <c r="C9" s="10" t="s">
        <v>97</v>
      </c>
    </row>
    <row r="10" customFormat="false" ht="15" hidden="false" customHeight="false" outlineLevel="0" collapsed="false">
      <c r="A10" s="7" t="n">
        <v>1</v>
      </c>
      <c r="B10" s="7" t="n">
        <v>0.9</v>
      </c>
      <c r="C10" s="7" t="n">
        <v>1</v>
      </c>
    </row>
    <row r="11" customFormat="false" ht="15" hidden="false" customHeight="false" outlineLevel="0" collapsed="false">
      <c r="A11" s="7" t="n">
        <v>2</v>
      </c>
      <c r="B11" s="7" t="n">
        <v>0.8</v>
      </c>
      <c r="C11" s="7" t="n">
        <v>1</v>
      </c>
    </row>
    <row r="12" customFormat="false" ht="15" hidden="false" customHeight="false" outlineLevel="0" collapsed="false">
      <c r="A12" s="7" t="n">
        <v>3</v>
      </c>
      <c r="B12" s="7" t="n">
        <v>0.7</v>
      </c>
      <c r="C12" s="7" t="n">
        <v>0</v>
      </c>
    </row>
    <row r="13" customFormat="false" ht="15" hidden="false" customHeight="false" outlineLevel="0" collapsed="false">
      <c r="A13" s="7" t="n">
        <v>4</v>
      </c>
      <c r="B13" s="7" t="n">
        <v>0.6</v>
      </c>
      <c r="C13" s="7" t="n">
        <v>1</v>
      </c>
    </row>
    <row r="14" customFormat="false" ht="15" hidden="false" customHeight="false" outlineLevel="0" collapsed="false">
      <c r="A14" s="7" t="n">
        <v>5</v>
      </c>
      <c r="B14" s="7" t="n">
        <v>0.4</v>
      </c>
      <c r="C14" s="7" t="n">
        <v>1</v>
      </c>
    </row>
    <row r="15" customFormat="false" ht="15" hidden="false" customHeight="false" outlineLevel="0" collapsed="false">
      <c r="A15" s="7" t="n">
        <v>6</v>
      </c>
      <c r="B15" s="7" t="n">
        <v>0.35</v>
      </c>
      <c r="C15" s="7" t="n">
        <v>0</v>
      </c>
    </row>
    <row r="16" customFormat="false" ht="15" hidden="false" customHeight="false" outlineLevel="0" collapsed="false">
      <c r="A16" s="7" t="n">
        <v>7</v>
      </c>
      <c r="B16" s="7" t="n">
        <v>0.3</v>
      </c>
      <c r="C16" s="7" t="n">
        <v>0</v>
      </c>
    </row>
    <row r="17" customFormat="false" ht="15" hidden="false" customHeight="false" outlineLevel="0" collapsed="false">
      <c r="A17" s="7" t="n">
        <v>8</v>
      </c>
      <c r="B17" s="7" t="n">
        <v>0.2</v>
      </c>
      <c r="C17" s="7" t="n">
        <v>0</v>
      </c>
    </row>
    <row r="18" customFormat="false" ht="15" hidden="false" customHeight="false" outlineLevel="0" collapsed="false">
      <c r="A18" s="7" t="n">
        <v>9</v>
      </c>
      <c r="B18" s="7" t="n">
        <v>0.1</v>
      </c>
      <c r="C18" s="7" t="n">
        <v>0</v>
      </c>
    </row>
    <row r="19" customFormat="false" ht="15" hidden="false" customHeight="false" outlineLevel="0" collapsed="false">
      <c r="A19" s="7" t="n">
        <v>10</v>
      </c>
      <c r="B19" s="7" t="n">
        <v>0.05</v>
      </c>
      <c r="C19" s="7" t="n">
        <v>1</v>
      </c>
    </row>
    <row r="21" customFormat="false" ht="15" hidden="false" customHeight="false" outlineLevel="0" collapsed="false">
      <c r="A21" s="5" t="s">
        <v>98</v>
      </c>
    </row>
    <row r="23" customFormat="false" ht="15" hidden="false" customHeight="false" outlineLevel="0" collapsed="false">
      <c r="A23" s="4" t="s">
        <v>99</v>
      </c>
    </row>
    <row r="25" customFormat="false" ht="15" hidden="false" customHeight="false" outlineLevel="0" collapsed="false">
      <c r="A25" s="5" t="s">
        <v>100</v>
      </c>
      <c r="D25" s="11"/>
      <c r="E25" s="11"/>
      <c r="F25" s="5" t="s">
        <v>40</v>
      </c>
      <c r="G25" s="12"/>
      <c r="H25" s="5" t="str">
        <f aca="false">IF(G25="","",IF(ROUND(G25,3)=ROUND(3,3),"✓","✗"))</f>
        <v/>
      </c>
    </row>
    <row r="27" customFormat="false" ht="15" hidden="false" customHeight="false" outlineLevel="0" collapsed="false">
      <c r="A27" s="5" t="s">
        <v>101</v>
      </c>
      <c r="D27" s="11"/>
      <c r="E27" s="11"/>
      <c r="F27" s="5" t="s">
        <v>40</v>
      </c>
      <c r="G27" s="12"/>
      <c r="H27" s="5" t="str">
        <f aca="false">IF(G27="","",IF(ROUND(G27,3)=ROUND(1,3),"✓","✗"))</f>
        <v/>
      </c>
    </row>
    <row r="29" customFormat="false" ht="15" hidden="false" customHeight="false" outlineLevel="0" collapsed="false">
      <c r="A29" s="5" t="s">
        <v>102</v>
      </c>
      <c r="D29" s="11"/>
      <c r="E29" s="11"/>
      <c r="F29" s="5" t="s">
        <v>40</v>
      </c>
      <c r="G29" s="12"/>
      <c r="H29" s="5" t="str">
        <f aca="false">IF(G29="","",IF(ROUND(G29,3)=ROUND(2,3),"✓","✗"))</f>
        <v/>
      </c>
    </row>
    <row r="31" customFormat="false" ht="15" hidden="false" customHeight="false" outlineLevel="0" collapsed="false">
      <c r="A31" s="5" t="s">
        <v>103</v>
      </c>
      <c r="D31" s="11"/>
      <c r="E31" s="11"/>
      <c r="F31" s="5" t="s">
        <v>40</v>
      </c>
      <c r="G31" s="12"/>
      <c r="H31" s="5" t="str">
        <f aca="false">IF(G31="","",IF(ROUND(G31,3)=ROUND(4,3),"✓","✗"))</f>
        <v/>
      </c>
    </row>
    <row r="33" customFormat="false" ht="15" hidden="false" customHeight="false" outlineLevel="0" collapsed="false">
      <c r="A33" s="5" t="s">
        <v>104</v>
      </c>
      <c r="D33" s="11" t="s">
        <v>105</v>
      </c>
      <c r="E33" s="11"/>
      <c r="F33" s="5" t="s">
        <v>40</v>
      </c>
      <c r="G33" s="12"/>
      <c r="H33" s="5" t="str">
        <f aca="false">IF(G33="","",IF(ROUND(G33,3)=ROUND(0.7,3),"✓","✗"))</f>
        <v/>
      </c>
    </row>
    <row r="35" customFormat="false" ht="15" hidden="false" customHeight="false" outlineLevel="0" collapsed="false">
      <c r="A35" s="5" t="s">
        <v>106</v>
      </c>
      <c r="D35" s="11" t="s">
        <v>107</v>
      </c>
      <c r="E35" s="11"/>
      <c r="F35" s="5" t="s">
        <v>40</v>
      </c>
      <c r="G35" s="12"/>
      <c r="H35" s="5" t="str">
        <f aca="false">IF(G35="","",IF(ROUND(G35,3)=ROUND(0.6,3),"✓","✗"))</f>
        <v/>
      </c>
    </row>
    <row r="37" customFormat="false" ht="15" hidden="false" customHeight="false" outlineLevel="0" collapsed="false">
      <c r="A37" s="5" t="s">
        <v>108</v>
      </c>
      <c r="D37" s="11" t="s">
        <v>109</v>
      </c>
      <c r="E37" s="11"/>
      <c r="F37" s="5" t="s">
        <v>40</v>
      </c>
      <c r="G37" s="12"/>
      <c r="H37" s="5" t="str">
        <f aca="false">IF(G37="","",IF(ROUND(G37,3)=ROUND(0.8,3),"✓","✗"))</f>
        <v/>
      </c>
    </row>
    <row r="39" customFormat="false" ht="15" hidden="false" customHeight="false" outlineLevel="0" collapsed="false">
      <c r="A39" s="5" t="s">
        <v>110</v>
      </c>
      <c r="D39" s="11" t="s">
        <v>111</v>
      </c>
      <c r="E39" s="11"/>
      <c r="F39" s="5" t="s">
        <v>40</v>
      </c>
      <c r="G39" s="12"/>
      <c r="H39" s="5" t="str">
        <f aca="false">IF(G39="","",IF(UPPER(TRIM(G39))=UPPER("Sensitivity"),"✓","✗"))</f>
        <v/>
      </c>
    </row>
  </sheetData>
  <mergeCells count="8">
    <mergeCell ref="D25:E25"/>
    <mergeCell ref="D27:E27"/>
    <mergeCell ref="D29:E29"/>
    <mergeCell ref="D31:E31"/>
    <mergeCell ref="D33:E33"/>
    <mergeCell ref="D35:E35"/>
    <mergeCell ref="D37:E37"/>
    <mergeCell ref="D39:E39"/>
  </mergeCells>
  <conditionalFormatting sqref="A1:J3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2" t="s">
        <v>113</v>
      </c>
    </row>
    <row r="5" customFormat="false" ht="15" hidden="false" customHeight="false" outlineLevel="0" collapsed="false">
      <c r="A5" s="4" t="s">
        <v>114</v>
      </c>
    </row>
    <row r="7" customFormat="false" ht="15" hidden="false" customHeight="false" outlineLevel="0" collapsed="false">
      <c r="A7" s="5" t="s">
        <v>115</v>
      </c>
      <c r="B7" s="7" t="s">
        <v>116</v>
      </c>
    </row>
    <row r="8" customFormat="false" ht="15" hidden="false" customHeight="false" outlineLevel="0" collapsed="false">
      <c r="A8" s="5" t="s">
        <v>117</v>
      </c>
      <c r="B8" s="7" t="n">
        <v>10</v>
      </c>
    </row>
    <row r="9" customFormat="false" ht="15" hidden="false" customHeight="false" outlineLevel="0" collapsed="false">
      <c r="A9" s="5" t="s">
        <v>118</v>
      </c>
      <c r="B9" s="7" t="n">
        <v>14</v>
      </c>
    </row>
    <row r="10" customFormat="false" ht="15" hidden="false" customHeight="false" outlineLevel="0" collapsed="false">
      <c r="A10" s="5" t="s">
        <v>119</v>
      </c>
      <c r="B10" s="7" t="n">
        <v>1.4</v>
      </c>
    </row>
    <row r="11" customFormat="false" ht="15" hidden="false" customHeight="false" outlineLevel="0" collapsed="false">
      <c r="A11" s="5" t="s">
        <v>120</v>
      </c>
      <c r="B11" s="7" t="n">
        <v>2.8</v>
      </c>
    </row>
    <row r="13" customFormat="false" ht="15" hidden="false" customHeight="false" outlineLevel="0" collapsed="false">
      <c r="A13" s="4" t="s">
        <v>121</v>
      </c>
    </row>
    <row r="15" customFormat="false" ht="15" hidden="false" customHeight="false" outlineLevel="0" collapsed="false">
      <c r="A15" s="5" t="s">
        <v>122</v>
      </c>
      <c r="B15" s="7" t="s">
        <v>123</v>
      </c>
    </row>
    <row r="16" customFormat="false" ht="15" hidden="false" customHeight="false" outlineLevel="0" collapsed="false">
      <c r="A16" s="5" t="s">
        <v>124</v>
      </c>
      <c r="B16" s="7" t="s">
        <v>125</v>
      </c>
    </row>
    <row r="17" customFormat="false" ht="15" hidden="false" customHeight="false" outlineLevel="0" collapsed="false">
      <c r="A17" s="5" t="s">
        <v>126</v>
      </c>
      <c r="B17" s="7" t="n">
        <v>0.4</v>
      </c>
    </row>
    <row r="18" customFormat="false" ht="15" hidden="false" customHeight="false" outlineLevel="0" collapsed="false">
      <c r="A18" s="5" t="s">
        <v>16</v>
      </c>
      <c r="B18" s="7" t="n">
        <v>0.3651</v>
      </c>
    </row>
    <row r="19" customFormat="false" ht="15" hidden="false" customHeight="false" outlineLevel="0" collapsed="false">
      <c r="A19" s="5" t="s">
        <v>127</v>
      </c>
      <c r="B19" s="7" t="n">
        <v>0.1155</v>
      </c>
    </row>
    <row r="20" customFormat="false" ht="15" hidden="false" customHeight="false" outlineLevel="0" collapsed="false">
      <c r="A20" s="5" t="s">
        <v>20</v>
      </c>
      <c r="B20" s="7" t="n">
        <v>12.12</v>
      </c>
    </row>
    <row r="21" customFormat="false" ht="15" hidden="false" customHeight="false" outlineLevel="0" collapsed="false">
      <c r="A21" s="5" t="s">
        <v>128</v>
      </c>
      <c r="B21" s="7" t="n">
        <v>20</v>
      </c>
    </row>
    <row r="22" customFormat="false" ht="15" hidden="false" customHeight="false" outlineLevel="0" collapsed="false">
      <c r="A22" s="5" t="s">
        <v>18</v>
      </c>
      <c r="B22" s="7" t="n">
        <v>0.98</v>
      </c>
    </row>
    <row r="23" customFormat="false" ht="15" hidden="false" customHeight="false" outlineLevel="0" collapsed="false">
      <c r="A23" s="5" t="s">
        <v>129</v>
      </c>
      <c r="B23" s="7" t="s">
        <v>130</v>
      </c>
    </row>
    <row r="25" customFormat="false" ht="15" hidden="false" customHeight="false" outlineLevel="0" collapsed="false">
      <c r="A25" s="4" t="s">
        <v>131</v>
      </c>
    </row>
    <row r="27" customFormat="false" ht="15" hidden="false" customHeight="false" outlineLevel="0" collapsed="false">
      <c r="A27" s="5" t="s">
        <v>132</v>
      </c>
      <c r="B27" s="7" t="s">
        <v>133</v>
      </c>
    </row>
    <row r="28" customFormat="false" ht="15" hidden="false" customHeight="false" outlineLevel="0" collapsed="false">
      <c r="A28" s="5" t="s">
        <v>134</v>
      </c>
      <c r="B28" s="7" t="s">
        <v>135</v>
      </c>
    </row>
    <row r="29" customFormat="false" ht="15" hidden="false" customHeight="false" outlineLevel="0" collapsed="false">
      <c r="A29" s="5" t="s">
        <v>136</v>
      </c>
      <c r="B29" s="7" t="n">
        <v>7.389</v>
      </c>
    </row>
    <row r="30" customFormat="false" ht="15" hidden="false" customHeight="false" outlineLevel="0" collapsed="false">
      <c r="A30" s="5" t="s">
        <v>137</v>
      </c>
      <c r="B30" s="7" t="n">
        <v>2</v>
      </c>
    </row>
    <row r="32" customFormat="false" ht="15" hidden="false" customHeight="false" outlineLevel="0" collapsed="false">
      <c r="A32" s="4" t="s">
        <v>138</v>
      </c>
    </row>
    <row r="34" customFormat="false" ht="15" hidden="false" customHeight="false" outlineLevel="0" collapsed="false">
      <c r="A34" s="5" t="s">
        <v>139</v>
      </c>
      <c r="B34" s="7" t="s">
        <v>140</v>
      </c>
    </row>
    <row r="35" customFormat="false" ht="15" hidden="false" customHeight="false" outlineLevel="0" collapsed="false">
      <c r="A35" s="5" t="s">
        <v>141</v>
      </c>
      <c r="B35" s="7" t="n">
        <v>0.7</v>
      </c>
    </row>
    <row r="36" customFormat="false" ht="15" hidden="false" customHeight="false" outlineLevel="0" collapsed="false">
      <c r="A36" s="5" t="s">
        <v>142</v>
      </c>
      <c r="B36" s="7" t="n">
        <v>0.6</v>
      </c>
    </row>
    <row r="37" customFormat="false" ht="15" hidden="false" customHeight="false" outlineLevel="0" collapsed="false">
      <c r="A37" s="5" t="s">
        <v>143</v>
      </c>
      <c r="B37" s="7" t="n">
        <v>0.8</v>
      </c>
    </row>
    <row r="38" customFormat="false" ht="15" hidden="false" customHeight="false" outlineLevel="0" collapsed="false">
      <c r="A38" s="5" t="s">
        <v>144</v>
      </c>
      <c r="B38" s="7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2026-07-07T19:42:59Z</dcterms:created>
  <dc:creator>openpyxl</dc:creator>
  <dc:description/>
  <dc:language>en-US</dc:language>
  <cp:lastModifiedBy/>
  <dcterms:modified xsi:type="dcterms:W3CDTF">2026-07-07T19:42:59Z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